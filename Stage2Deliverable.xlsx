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6th Semester\SPMLab\Stage2 Deliverable\"/>
    </mc:Choice>
  </mc:AlternateContent>
  <xr:revisionPtr revIDLastSave="0" documentId="13_ncr:1_{89F6890F-F646-40D2-AEB3-17F8FD79354D}" xr6:coauthVersionLast="47" xr6:coauthVersionMax="47" xr10:uidLastSave="{00000000-0000-0000-0000-000000000000}"/>
  <bookViews>
    <workbookView xWindow="-120" yWindow="-120" windowWidth="20730" windowHeight="11160" xr2:uid="{9F6A8993-E770-4E81-BB0E-FAA2A5ACD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" i="1" l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K58" i="1"/>
  <c r="J58" i="1"/>
  <c r="I58" i="1"/>
  <c r="H58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S54" i="1"/>
  <c r="R54" i="1"/>
  <c r="Q54" i="1"/>
  <c r="P54" i="1"/>
  <c r="O54" i="1"/>
  <c r="N54" i="1"/>
  <c r="M54" i="1"/>
  <c r="L54" i="1"/>
  <c r="K54" i="1"/>
  <c r="J54" i="1"/>
  <c r="I54" i="1"/>
  <c r="H54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Q49" i="1"/>
  <c r="Q48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Y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T25" i="1"/>
  <c r="U25" i="1"/>
  <c r="V25" i="1"/>
  <c r="W25" i="1"/>
  <c r="X25" i="1"/>
  <c r="Y25" i="1"/>
  <c r="Z25" i="1"/>
  <c r="AA25" i="1"/>
  <c r="AB25" i="1"/>
  <c r="AC25" i="1"/>
  <c r="AD25" i="1"/>
  <c r="R23" i="1"/>
  <c r="S23" i="1"/>
  <c r="T23" i="1"/>
  <c r="U23" i="1"/>
  <c r="V23" i="1"/>
  <c r="W23" i="1"/>
  <c r="X23" i="1"/>
  <c r="Y23" i="1"/>
  <c r="Z23" i="1"/>
  <c r="AA23" i="1"/>
  <c r="R24" i="1"/>
  <c r="S24" i="1"/>
  <c r="T24" i="1"/>
  <c r="U24" i="1"/>
  <c r="V24" i="1"/>
  <c r="W24" i="1"/>
  <c r="X24" i="1"/>
  <c r="Y24" i="1"/>
  <c r="Z24" i="1"/>
  <c r="AA24" i="1"/>
  <c r="Q25" i="1"/>
  <c r="R25" i="1"/>
  <c r="S25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Q22" i="1"/>
  <c r="R22" i="1"/>
  <c r="S22" i="1"/>
  <c r="T22" i="1"/>
  <c r="U22" i="1"/>
  <c r="V22" i="1"/>
  <c r="W22" i="1"/>
  <c r="X22" i="1"/>
  <c r="Y22" i="1"/>
  <c r="Z22" i="1"/>
  <c r="AA22" i="1"/>
  <c r="AB22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Q52" i="1"/>
  <c r="P52" i="1"/>
  <c r="O52" i="1"/>
  <c r="N52" i="1"/>
  <c r="M52" i="1"/>
  <c r="L52" i="1"/>
  <c r="K52" i="1"/>
  <c r="J52" i="1"/>
  <c r="I52" i="1"/>
  <c r="H52" i="1"/>
  <c r="Q51" i="1"/>
  <c r="P51" i="1"/>
  <c r="O51" i="1"/>
  <c r="N51" i="1"/>
  <c r="M51" i="1"/>
  <c r="L51" i="1"/>
  <c r="K51" i="1"/>
  <c r="J51" i="1"/>
  <c r="I51" i="1"/>
  <c r="H51" i="1"/>
  <c r="Q50" i="1"/>
  <c r="P50" i="1"/>
  <c r="O50" i="1"/>
  <c r="N50" i="1"/>
  <c r="M50" i="1"/>
  <c r="L50" i="1"/>
  <c r="K50" i="1"/>
  <c r="J50" i="1"/>
  <c r="I50" i="1"/>
  <c r="H50" i="1"/>
  <c r="P49" i="1"/>
  <c r="O49" i="1"/>
  <c r="N49" i="1"/>
  <c r="M49" i="1"/>
  <c r="L49" i="1"/>
  <c r="K49" i="1"/>
  <c r="J49" i="1"/>
  <c r="I49" i="1"/>
  <c r="H49" i="1"/>
  <c r="P48" i="1"/>
  <c r="O48" i="1"/>
  <c r="N48" i="1"/>
  <c r="M48" i="1"/>
  <c r="L48" i="1"/>
  <c r="K48" i="1"/>
  <c r="J48" i="1"/>
  <c r="I48" i="1"/>
  <c r="H48" i="1"/>
  <c r="P47" i="1"/>
  <c r="O47" i="1"/>
  <c r="N47" i="1"/>
  <c r="M47" i="1"/>
  <c r="L47" i="1"/>
  <c r="K47" i="1"/>
  <c r="J47" i="1"/>
  <c r="I47" i="1"/>
  <c r="H47" i="1"/>
  <c r="P46" i="1"/>
  <c r="O46" i="1"/>
  <c r="N46" i="1"/>
  <c r="M46" i="1"/>
  <c r="L46" i="1"/>
  <c r="K46" i="1"/>
  <c r="J46" i="1"/>
  <c r="I46" i="1"/>
  <c r="H46" i="1"/>
  <c r="P45" i="1"/>
  <c r="O45" i="1"/>
  <c r="N45" i="1"/>
  <c r="M45" i="1"/>
  <c r="L45" i="1"/>
  <c r="K45" i="1"/>
  <c r="J45" i="1"/>
  <c r="I45" i="1"/>
  <c r="H45" i="1"/>
  <c r="P44" i="1"/>
  <c r="O44" i="1"/>
  <c r="N44" i="1"/>
  <c r="M44" i="1"/>
  <c r="L44" i="1"/>
  <c r="K44" i="1"/>
  <c r="J44" i="1"/>
  <c r="I44" i="1"/>
  <c r="H44" i="1"/>
  <c r="Q43" i="1"/>
  <c r="P43" i="1"/>
  <c r="O43" i="1"/>
  <c r="N43" i="1"/>
  <c r="M43" i="1"/>
  <c r="L43" i="1"/>
  <c r="K43" i="1"/>
  <c r="J43" i="1"/>
  <c r="I43" i="1"/>
  <c r="H43" i="1"/>
  <c r="N42" i="1"/>
  <c r="M42" i="1"/>
  <c r="L42" i="1"/>
  <c r="K42" i="1"/>
  <c r="J42" i="1"/>
  <c r="I42" i="1"/>
  <c r="H42" i="1"/>
  <c r="N41" i="1"/>
  <c r="M41" i="1"/>
  <c r="L41" i="1"/>
  <c r="K41" i="1"/>
  <c r="J41" i="1"/>
  <c r="I41" i="1"/>
  <c r="H41" i="1"/>
  <c r="N40" i="1"/>
  <c r="M40" i="1"/>
  <c r="L40" i="1"/>
  <c r="K40" i="1"/>
  <c r="J40" i="1"/>
  <c r="I40" i="1"/>
  <c r="H40" i="1"/>
  <c r="N39" i="1"/>
  <c r="M39" i="1"/>
  <c r="L39" i="1"/>
  <c r="K39" i="1"/>
  <c r="J39" i="1"/>
  <c r="I39" i="1"/>
  <c r="H39" i="1"/>
  <c r="P38" i="1"/>
  <c r="O38" i="1"/>
  <c r="N38" i="1"/>
  <c r="M38" i="1"/>
  <c r="L38" i="1"/>
  <c r="K38" i="1"/>
  <c r="J38" i="1"/>
  <c r="I38" i="1"/>
  <c r="H38" i="1"/>
  <c r="P37" i="1"/>
  <c r="O37" i="1"/>
  <c r="N37" i="1"/>
  <c r="M37" i="1"/>
  <c r="L37" i="1"/>
  <c r="K37" i="1"/>
  <c r="J37" i="1"/>
  <c r="I37" i="1"/>
  <c r="H37" i="1"/>
  <c r="P36" i="1"/>
  <c r="O36" i="1"/>
  <c r="N36" i="1"/>
  <c r="M36" i="1"/>
  <c r="L36" i="1"/>
  <c r="K36" i="1"/>
  <c r="J36" i="1"/>
  <c r="I36" i="1"/>
  <c r="H36" i="1"/>
  <c r="N35" i="1"/>
  <c r="M35" i="1"/>
  <c r="L35" i="1"/>
  <c r="K35" i="1"/>
  <c r="J35" i="1"/>
  <c r="I35" i="1"/>
  <c r="H35" i="1"/>
  <c r="N34" i="1"/>
  <c r="M34" i="1"/>
  <c r="L34" i="1"/>
  <c r="K34" i="1"/>
  <c r="J34" i="1"/>
  <c r="I34" i="1"/>
  <c r="H34" i="1"/>
  <c r="N33" i="1"/>
  <c r="M33" i="1"/>
  <c r="L33" i="1"/>
  <c r="K33" i="1"/>
  <c r="J33" i="1"/>
  <c r="I33" i="1"/>
  <c r="H33" i="1"/>
  <c r="N32" i="1"/>
  <c r="M32" i="1"/>
  <c r="L32" i="1"/>
  <c r="K32" i="1"/>
  <c r="J32" i="1"/>
  <c r="I32" i="1"/>
  <c r="H32" i="1"/>
  <c r="N31" i="1"/>
  <c r="M31" i="1"/>
  <c r="L31" i="1"/>
  <c r="K31" i="1"/>
  <c r="J31" i="1"/>
  <c r="I31" i="1"/>
  <c r="H31" i="1"/>
  <c r="N30" i="1"/>
  <c r="M30" i="1"/>
  <c r="L30" i="1"/>
  <c r="K30" i="1"/>
  <c r="J30" i="1"/>
  <c r="I30" i="1"/>
  <c r="H30" i="1"/>
  <c r="P29" i="1"/>
  <c r="O29" i="1"/>
  <c r="N29" i="1"/>
  <c r="M29" i="1"/>
  <c r="L29" i="1"/>
  <c r="K29" i="1"/>
  <c r="J29" i="1"/>
  <c r="I29" i="1"/>
  <c r="H29" i="1"/>
  <c r="P28" i="1"/>
  <c r="O28" i="1"/>
  <c r="N28" i="1"/>
  <c r="M28" i="1"/>
  <c r="L28" i="1"/>
  <c r="K28" i="1"/>
  <c r="J28" i="1"/>
  <c r="I28" i="1"/>
  <c r="H28" i="1"/>
  <c r="P27" i="1"/>
  <c r="O27" i="1"/>
  <c r="N27" i="1"/>
  <c r="M27" i="1"/>
  <c r="L27" i="1"/>
  <c r="K27" i="1"/>
  <c r="J27" i="1"/>
  <c r="I27" i="1"/>
  <c r="H27" i="1"/>
  <c r="O26" i="1"/>
  <c r="N26" i="1"/>
  <c r="M26" i="1"/>
  <c r="L26" i="1"/>
  <c r="K26" i="1"/>
  <c r="J26" i="1"/>
  <c r="I26" i="1"/>
  <c r="H26" i="1"/>
  <c r="P25" i="1"/>
  <c r="O25" i="1"/>
  <c r="N25" i="1"/>
  <c r="M25" i="1"/>
  <c r="L25" i="1"/>
  <c r="K25" i="1"/>
  <c r="J25" i="1"/>
  <c r="I25" i="1"/>
  <c r="H25" i="1"/>
  <c r="Q24" i="1"/>
  <c r="P24" i="1"/>
  <c r="O24" i="1"/>
  <c r="N24" i="1"/>
  <c r="M24" i="1"/>
  <c r="L24" i="1"/>
  <c r="K24" i="1"/>
  <c r="J24" i="1"/>
  <c r="I24" i="1"/>
  <c r="H24" i="1"/>
  <c r="Q23" i="1"/>
  <c r="P23" i="1"/>
  <c r="O23" i="1"/>
  <c r="N23" i="1"/>
  <c r="M23" i="1"/>
  <c r="L23" i="1"/>
  <c r="K23" i="1"/>
  <c r="J23" i="1"/>
  <c r="I23" i="1"/>
  <c r="H23" i="1"/>
  <c r="P22" i="1"/>
  <c r="O22" i="1"/>
  <c r="N22" i="1"/>
  <c r="M22" i="1"/>
  <c r="L22" i="1"/>
  <c r="K22" i="1"/>
  <c r="J22" i="1"/>
  <c r="I22" i="1"/>
  <c r="H22" i="1"/>
  <c r="O21" i="1"/>
  <c r="N21" i="1"/>
  <c r="M21" i="1"/>
  <c r="L21" i="1"/>
  <c r="K21" i="1"/>
  <c r="J21" i="1"/>
  <c r="I21" i="1"/>
  <c r="H21" i="1"/>
  <c r="N20" i="1"/>
  <c r="M20" i="1"/>
  <c r="L20" i="1"/>
  <c r="K20" i="1"/>
  <c r="J20" i="1"/>
  <c r="I20" i="1"/>
  <c r="H20" i="1"/>
  <c r="P19" i="1"/>
  <c r="O19" i="1"/>
  <c r="N19" i="1"/>
  <c r="M19" i="1"/>
  <c r="L19" i="1"/>
  <c r="K19" i="1"/>
  <c r="J19" i="1"/>
  <c r="I19" i="1"/>
  <c r="H19" i="1"/>
  <c r="P18" i="1"/>
  <c r="O18" i="1"/>
  <c r="N18" i="1"/>
  <c r="M18" i="1"/>
  <c r="L18" i="1"/>
  <c r="K18" i="1"/>
  <c r="J18" i="1"/>
  <c r="I18" i="1"/>
  <c r="H18" i="1"/>
  <c r="P17" i="1"/>
  <c r="O17" i="1"/>
  <c r="N17" i="1"/>
  <c r="M17" i="1"/>
  <c r="L17" i="1"/>
  <c r="K17" i="1"/>
  <c r="J17" i="1"/>
  <c r="I17" i="1"/>
  <c r="H17" i="1"/>
  <c r="Q16" i="1"/>
  <c r="P16" i="1"/>
  <c r="O16" i="1"/>
  <c r="N16" i="1"/>
  <c r="M16" i="1"/>
  <c r="L16" i="1"/>
  <c r="K16" i="1"/>
  <c r="J16" i="1"/>
  <c r="I16" i="1"/>
  <c r="H16" i="1"/>
  <c r="Q15" i="1"/>
  <c r="P15" i="1"/>
  <c r="O15" i="1"/>
  <c r="N15" i="1"/>
  <c r="M15" i="1"/>
  <c r="L15" i="1"/>
  <c r="K15" i="1"/>
  <c r="J15" i="1"/>
  <c r="I15" i="1"/>
  <c r="H15" i="1"/>
  <c r="Q14" i="1"/>
  <c r="P14" i="1"/>
  <c r="O14" i="1"/>
  <c r="N14" i="1"/>
  <c r="M14" i="1"/>
  <c r="L14" i="1"/>
  <c r="K14" i="1"/>
  <c r="J14" i="1"/>
  <c r="I14" i="1"/>
  <c r="H14" i="1"/>
  <c r="Q13" i="1"/>
  <c r="P13" i="1"/>
  <c r="O13" i="1"/>
  <c r="N13" i="1"/>
  <c r="M13" i="1"/>
  <c r="L13" i="1"/>
  <c r="K13" i="1"/>
  <c r="J13" i="1"/>
  <c r="I13" i="1"/>
  <c r="H13" i="1"/>
  <c r="Q12" i="1"/>
  <c r="P12" i="1"/>
  <c r="O12" i="1"/>
  <c r="N12" i="1"/>
  <c r="M12" i="1"/>
  <c r="L12" i="1"/>
  <c r="K12" i="1"/>
  <c r="J12" i="1"/>
  <c r="I12" i="1"/>
  <c r="H12" i="1"/>
  <c r="Q11" i="1"/>
  <c r="P11" i="1"/>
  <c r="O11" i="1"/>
  <c r="N11" i="1"/>
  <c r="M11" i="1"/>
  <c r="L11" i="1"/>
  <c r="K11" i="1"/>
  <c r="J11" i="1"/>
  <c r="I11" i="1"/>
  <c r="H11" i="1"/>
  <c r="Q10" i="1"/>
  <c r="P10" i="1"/>
  <c r="O10" i="1"/>
  <c r="N10" i="1"/>
  <c r="M10" i="1"/>
  <c r="L10" i="1"/>
  <c r="K10" i="1"/>
  <c r="J10" i="1"/>
  <c r="I10" i="1"/>
  <c r="H10" i="1"/>
  <c r="Q9" i="1"/>
  <c r="P9" i="1"/>
  <c r="O9" i="1"/>
  <c r="N9" i="1"/>
  <c r="M9" i="1"/>
  <c r="L9" i="1"/>
  <c r="K9" i="1"/>
  <c r="J9" i="1"/>
  <c r="I9" i="1"/>
  <c r="H9" i="1"/>
  <c r="Q8" i="1"/>
  <c r="P8" i="1"/>
  <c r="O8" i="1"/>
  <c r="N8" i="1"/>
  <c r="M8" i="1"/>
  <c r="L8" i="1"/>
  <c r="K8" i="1"/>
  <c r="J8" i="1"/>
  <c r="I8" i="1"/>
  <c r="H8" i="1"/>
  <c r="Q7" i="1"/>
  <c r="P7" i="1"/>
  <c r="O7" i="1"/>
  <c r="N7" i="1"/>
  <c r="M7" i="1"/>
  <c r="L7" i="1"/>
  <c r="K7" i="1"/>
  <c r="J7" i="1"/>
  <c r="I7" i="1"/>
  <c r="H7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U3" i="1"/>
  <c r="BV3" i="1" s="1"/>
  <c r="BW3" i="1" s="1"/>
  <c r="BX3" i="1" s="1"/>
  <c r="BY3" i="1" s="1"/>
  <c r="BL2" i="1"/>
  <c r="BS2" i="1"/>
  <c r="BE2" i="1"/>
  <c r="AX2" i="1"/>
  <c r="AX1" i="1"/>
  <c r="BE1" i="1"/>
  <c r="BL1" i="1"/>
  <c r="BS1" i="1"/>
  <c r="AX3" i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I3" i="1"/>
  <c r="C5" i="1"/>
  <c r="H4" i="1" l="1"/>
  <c r="AU7" i="1"/>
  <c r="AV7" i="1"/>
  <c r="AW7" i="1"/>
  <c r="AU8" i="1"/>
  <c r="AV8" i="1"/>
  <c r="AW8" i="1"/>
  <c r="AU9" i="1"/>
  <c r="AV9" i="1"/>
  <c r="AW9" i="1"/>
  <c r="AU10" i="1"/>
  <c r="AV10" i="1"/>
  <c r="AW10" i="1"/>
  <c r="AU11" i="1"/>
  <c r="AV11" i="1"/>
  <c r="AW11" i="1"/>
  <c r="AU12" i="1"/>
  <c r="AV12" i="1"/>
  <c r="AW12" i="1"/>
  <c r="AU18" i="1"/>
  <c r="AV18" i="1"/>
  <c r="AW18" i="1"/>
  <c r="AU19" i="1"/>
  <c r="AV19" i="1"/>
  <c r="AW19" i="1"/>
  <c r="AU28" i="1"/>
  <c r="AV28" i="1"/>
  <c r="AW28" i="1"/>
  <c r="AU30" i="1"/>
  <c r="AV30" i="1"/>
  <c r="AW30" i="1"/>
  <c r="AU31" i="1"/>
  <c r="AV31" i="1"/>
  <c r="AW31" i="1"/>
  <c r="AU32" i="1"/>
  <c r="AV32" i="1"/>
  <c r="AW32" i="1"/>
  <c r="AU33" i="1"/>
  <c r="AV33" i="1"/>
  <c r="AW33" i="1"/>
  <c r="AU34" i="1"/>
  <c r="AV34" i="1"/>
  <c r="AW34" i="1"/>
  <c r="AU4" i="1"/>
  <c r="AV4" i="1"/>
  <c r="AW4" i="1"/>
  <c r="AU3" i="1"/>
  <c r="AV3" i="1"/>
  <c r="AW3" i="1"/>
  <c r="O1" i="1"/>
  <c r="V1" i="1"/>
  <c r="AC1" i="1"/>
  <c r="AJ1" i="1"/>
  <c r="AQ1" i="1"/>
  <c r="H1" i="1"/>
  <c r="AQ2" i="1"/>
  <c r="S2" i="1"/>
  <c r="Z2" i="1"/>
  <c r="AG2" i="1"/>
  <c r="AN2" i="1"/>
  <c r="L2" i="1"/>
  <c r="H2" i="1"/>
  <c r="AT34" i="1" l="1"/>
  <c r="AS34" i="1"/>
  <c r="AR34" i="1"/>
  <c r="AT33" i="1"/>
  <c r="AS33" i="1"/>
  <c r="AT32" i="1"/>
  <c r="AT31" i="1"/>
  <c r="AS31" i="1"/>
  <c r="AR31" i="1"/>
  <c r="AQ31" i="1"/>
  <c r="AT30" i="1"/>
  <c r="AS30" i="1"/>
  <c r="AR30" i="1"/>
  <c r="AQ30" i="1"/>
  <c r="AP30" i="1"/>
  <c r="AT28" i="1"/>
  <c r="AS28" i="1"/>
  <c r="AR28" i="1"/>
  <c r="AQ28" i="1"/>
  <c r="AP28" i="1"/>
  <c r="AO28" i="1"/>
  <c r="AN28" i="1"/>
  <c r="AM28" i="1"/>
  <c r="AL28" i="1"/>
  <c r="AK28" i="1"/>
  <c r="AJ28" i="1"/>
  <c r="AT19" i="1"/>
  <c r="AS19" i="1"/>
  <c r="AR19" i="1"/>
  <c r="AQ19" i="1"/>
  <c r="AP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H6" i="1"/>
  <c r="C7" i="1"/>
  <c r="C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H3" i="1"/>
  <c r="H5" i="1" l="1"/>
  <c r="J3" i="1"/>
  <c r="I4" i="1"/>
  <c r="K3" i="1" l="1"/>
  <c r="J4" i="1"/>
  <c r="L3" i="1" l="1"/>
  <c r="K4" i="1"/>
  <c r="M3" i="1" l="1"/>
  <c r="L4" i="1"/>
  <c r="N3" i="1" l="1"/>
  <c r="M4" i="1"/>
  <c r="O3" i="1" l="1"/>
  <c r="N4" i="1"/>
  <c r="P3" i="1" l="1"/>
  <c r="O4" i="1"/>
  <c r="Q3" i="1" l="1"/>
  <c r="P4" i="1"/>
  <c r="R3" i="1" l="1"/>
  <c r="Q4" i="1"/>
  <c r="S3" i="1" l="1"/>
  <c r="R4" i="1"/>
  <c r="T3" i="1" l="1"/>
  <c r="S4" i="1"/>
  <c r="U3" i="1" l="1"/>
  <c r="T4" i="1"/>
  <c r="V3" i="1" l="1"/>
  <c r="U4" i="1"/>
  <c r="W3" i="1" l="1"/>
  <c r="V4" i="1"/>
  <c r="X3" i="1" l="1"/>
  <c r="W4" i="1"/>
  <c r="Y3" i="1" l="1"/>
  <c r="X4" i="1"/>
  <c r="Z3" i="1" l="1"/>
  <c r="Y4" i="1"/>
  <c r="AA3" i="1" l="1"/>
  <c r="Z4" i="1"/>
  <c r="AB3" i="1" l="1"/>
  <c r="AA4" i="1"/>
  <c r="AC3" i="1" l="1"/>
  <c r="AB4" i="1"/>
  <c r="AD3" i="1" l="1"/>
  <c r="AC4" i="1"/>
  <c r="AE3" i="1" l="1"/>
  <c r="AD4" i="1"/>
  <c r="AF3" i="1" l="1"/>
  <c r="AE4" i="1"/>
  <c r="AG3" i="1" l="1"/>
  <c r="AF4" i="1"/>
  <c r="AH3" i="1" l="1"/>
  <c r="AG4" i="1"/>
  <c r="AI3" i="1" l="1"/>
  <c r="AH4" i="1"/>
  <c r="AJ3" i="1" l="1"/>
  <c r="AI4" i="1"/>
  <c r="AK3" i="1" l="1"/>
  <c r="AJ4" i="1"/>
  <c r="AL3" i="1" l="1"/>
  <c r="AK4" i="1"/>
  <c r="AM3" i="1" l="1"/>
  <c r="AL4" i="1"/>
  <c r="AN3" i="1" l="1"/>
  <c r="AM4" i="1"/>
  <c r="AO3" i="1" l="1"/>
  <c r="AN4" i="1"/>
  <c r="AP3" i="1" l="1"/>
  <c r="AO4" i="1"/>
  <c r="AQ3" i="1" l="1"/>
  <c r="AP4" i="1"/>
  <c r="AR3" i="1" l="1"/>
  <c r="AQ4" i="1"/>
  <c r="AS3" i="1" l="1"/>
  <c r="AR4" i="1"/>
  <c r="AT3" i="1" l="1"/>
  <c r="AS4" i="1"/>
  <c r="AT4" i="1" l="1"/>
</calcChain>
</file>

<file path=xl/sharedStrings.xml><?xml version="1.0" encoding="utf-8"?>
<sst xmlns="http://schemas.openxmlformats.org/spreadsheetml/2006/main" count="67" uniqueCount="48">
  <si>
    <t>Predecessor</t>
  </si>
  <si>
    <t>Project Manager</t>
  </si>
  <si>
    <t>-</t>
  </si>
  <si>
    <t>QA Team</t>
  </si>
  <si>
    <t>Duration</t>
  </si>
  <si>
    <t>Serial No</t>
  </si>
  <si>
    <t>Activity</t>
  </si>
  <si>
    <t>Plan Start</t>
  </si>
  <si>
    <t>Plan End</t>
  </si>
  <si>
    <t>Responsible</t>
  </si>
  <si>
    <t>Actual End</t>
  </si>
  <si>
    <t>StartDate</t>
  </si>
  <si>
    <t>Project Planning Phase</t>
  </si>
  <si>
    <t>Scope Definition</t>
  </si>
  <si>
    <t>Feasibility Study</t>
  </si>
  <si>
    <t>Analysis &amp; Design Phase</t>
  </si>
  <si>
    <t>Requirements Gathering</t>
  </si>
  <si>
    <t>Development Phase</t>
  </si>
  <si>
    <t>Authentication Module</t>
  </si>
  <si>
    <t>B2C Shopping Cart</t>
  </si>
  <si>
    <t>B2B Ordering Engine</t>
  </si>
  <si>
    <t>Stock Sync Engine</t>
  </si>
  <si>
    <t>Low Stock Monitoring</t>
  </si>
  <si>
    <t>Testing Phase</t>
  </si>
  <si>
    <t>Unit &amp; Integration Testing</t>
  </si>
  <si>
    <t>Deployment Phase</t>
  </si>
  <si>
    <t>Data Migration</t>
  </si>
  <si>
    <t>Final Submission &amp; Review</t>
  </si>
  <si>
    <t>Inventory Management System</t>
  </si>
  <si>
    <t>Project Charter Preparation</t>
  </si>
  <si>
    <t>Database Schema Design</t>
  </si>
  <si>
    <t>B2B/B2C UI Wireframes</t>
  </si>
  <si>
    <t>Cloud Infrastructure Setup</t>
  </si>
  <si>
    <t>Product Management CRUD</t>
  </si>
  <si>
    <t>Supplier Management CRUD</t>
  </si>
  <si>
    <t>Retail Checkout System</t>
  </si>
  <si>
    <t>Multi-Tier Pricing Logic</t>
  </si>
  <si>
    <t>PDF/Excel Reporting Module</t>
  </si>
  <si>
    <t>User Acceptance Testing</t>
  </si>
  <si>
    <t>ROP Notifications System</t>
  </si>
  <si>
    <t>Actual Start</t>
  </si>
  <si>
    <t>Analyst Team</t>
  </si>
  <si>
    <t>Database Team</t>
  </si>
  <si>
    <t>UI/UX Team</t>
  </si>
  <si>
    <t>Development Team</t>
  </si>
  <si>
    <t>DevOps Team</t>
  </si>
  <si>
    <t>QA Team And Stakeholders</t>
  </si>
  <si>
    <t>Project 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</si>
</sst>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Calibri"/>
      <family val="2"/>
      <scheme val="minor"/>
    </font>
    <font>
      <sz val="14"/>
      <name val="Times New Roman"/>
      <family val="1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14" fontId="1" fillId="0" borderId="1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2" borderId="1" xfId="0" applyFont="1" applyFill="1" applyBorder="1"/>
    <xf numFmtId="0" fontId="7" fillId="0" borderId="0" xfId="0" applyFont="1"/>
    <xf numFmtId="15" fontId="6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15" fontId="5" fillId="2" borderId="1" xfId="0" applyNumberFormat="1" applyFont="1" applyFill="1" applyBorder="1"/>
    <xf numFmtId="0" fontId="5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/>
    <xf numFmtId="0" fontId="8" fillId="0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182"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</dxfs>
  <tableStyles count="0" defaultTableStyle="TableStyleMedium2" defaultPivotStyle="PivotStyleLight16"/>
  <colors>
    <mruColors>
      <color rgb="FFFF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3874-59B0-41BD-AAA3-905DF337E47C}">
  <sheetPr codeName="Sheet1"/>
  <dimension ref="A1:BZ58"/>
  <sheetViews>
    <sheetView tabSelected="1" zoomScale="10" zoomScaleNormal="10" workbookViewId="0">
      <selection sqref="A1:BY59"/>
    </sheetView>
  </sheetViews>
  <sheetFormatPr defaultRowHeight="18.75" x14ac:dyDescent="0.3"/>
  <cols>
    <col min="1" max="1" width="20.85546875" style="14" customWidth="1"/>
    <col min="2" max="2" width="27.5703125" style="14" bestFit="1" customWidth="1"/>
    <col min="3" max="3" width="20.140625" style="14" customWidth="1"/>
    <col min="4" max="4" width="27.28515625" style="3" customWidth="1"/>
    <col min="5" max="5" width="31.42578125" style="3" customWidth="1"/>
    <col min="6" max="6" width="25.140625" style="14" customWidth="1"/>
    <col min="7" max="7" width="21" style="14" customWidth="1"/>
    <col min="8" max="8" width="20" style="3" customWidth="1"/>
    <col min="9" max="9" width="16.42578125" style="3" customWidth="1"/>
    <col min="10" max="10" width="17.5703125" style="3" customWidth="1"/>
    <col min="11" max="11" width="16" style="3" customWidth="1"/>
    <col min="12" max="12" width="15.7109375" style="3" customWidth="1"/>
    <col min="13" max="13" width="15.42578125" style="3" customWidth="1"/>
    <col min="14" max="14" width="18.5703125" style="3" customWidth="1"/>
    <col min="15" max="20" width="13.85546875" style="3" bestFit="1" customWidth="1"/>
    <col min="21" max="42" width="15.42578125" style="3" bestFit="1" customWidth="1"/>
    <col min="43" max="49" width="13.140625" style="3" bestFit="1" customWidth="1"/>
    <col min="50" max="71" width="9.140625" style="3"/>
    <col min="72" max="72" width="17.5703125" style="3" customWidth="1"/>
    <col min="73" max="74" width="9.140625" style="3" customWidth="1"/>
    <col min="75" max="76" width="9.140625" style="3"/>
    <col min="77" max="77" width="14.28515625" style="3" customWidth="1"/>
    <col min="78" max="81" width="9.140625" style="3"/>
    <col min="82" max="82" width="9.140625" style="3" customWidth="1"/>
    <col min="83" max="16384" width="9.140625" style="3"/>
  </cols>
  <sheetData>
    <row r="1" spans="1:77" s="8" customFormat="1" ht="20.25" x14ac:dyDescent="0.3">
      <c r="A1" s="7" t="s">
        <v>11</v>
      </c>
      <c r="B1" s="5" t="s">
        <v>28</v>
      </c>
      <c r="C1" s="6"/>
      <c r="D1" s="6"/>
      <c r="E1" s="6"/>
      <c r="F1" s="6"/>
      <c r="G1" s="6"/>
      <c r="H1" s="20" t="str">
        <f>"Calendar Week-"&amp;WEEKNUM(H3)&amp;" ("&amp;YEAR(H3)&amp;")"</f>
        <v>Calendar Week-18 (2026)</v>
      </c>
      <c r="I1" s="20"/>
      <c r="J1" s="20"/>
      <c r="K1" s="20"/>
      <c r="L1" s="20"/>
      <c r="M1" s="20"/>
      <c r="N1" s="20"/>
      <c r="O1" s="20" t="str">
        <f t="shared" ref="O1" si="0">"Calendar Week-"&amp;WEEKNUM(O3)&amp;" ("&amp;YEAR(O3)&amp;")"</f>
        <v>Calendar Week-19 (2026)</v>
      </c>
      <c r="P1" s="20"/>
      <c r="Q1" s="20"/>
      <c r="R1" s="20"/>
      <c r="S1" s="20"/>
      <c r="T1" s="20"/>
      <c r="U1" s="20"/>
      <c r="V1" s="20" t="str">
        <f t="shared" ref="V1" si="1">"Calendar Week-"&amp;WEEKNUM(V3)&amp;" ("&amp;YEAR(V3)&amp;")"</f>
        <v>Calendar Week-20 (2026)</v>
      </c>
      <c r="W1" s="20"/>
      <c r="X1" s="20"/>
      <c r="Y1" s="20"/>
      <c r="Z1" s="20"/>
      <c r="AA1" s="20"/>
      <c r="AB1" s="20"/>
      <c r="AC1" s="20" t="str">
        <f t="shared" ref="AC1" si="2">"Calendar Week-"&amp;WEEKNUM(AC3)&amp;" ("&amp;YEAR(AC3)&amp;")"</f>
        <v>Calendar Week-21 (2026)</v>
      </c>
      <c r="AD1" s="20"/>
      <c r="AE1" s="20"/>
      <c r="AF1" s="20"/>
      <c r="AG1" s="20"/>
      <c r="AH1" s="20"/>
      <c r="AI1" s="20"/>
      <c r="AJ1" s="20" t="str">
        <f t="shared" ref="AJ1" si="3">"Calendar Week-"&amp;WEEKNUM(AJ3)&amp;" ("&amp;YEAR(AJ3)&amp;")"</f>
        <v>Calendar Week-22 (2026)</v>
      </c>
      <c r="AK1" s="20"/>
      <c r="AL1" s="20"/>
      <c r="AM1" s="20"/>
      <c r="AN1" s="20"/>
      <c r="AO1" s="20"/>
      <c r="AP1" s="20"/>
      <c r="AQ1" s="20" t="str">
        <f t="shared" ref="AQ1" si="4">"Calendar Week-"&amp;WEEKNUM(AQ3)&amp;" ("&amp;YEAR(AQ3)&amp;")"</f>
        <v>Calendar Week-23 (2026)</v>
      </c>
      <c r="AR1" s="20"/>
      <c r="AS1" s="20"/>
      <c r="AT1" s="20"/>
      <c r="AU1" s="20"/>
      <c r="AV1" s="20"/>
      <c r="AW1" s="20"/>
      <c r="AX1" s="20" t="str">
        <f t="shared" ref="AX1:BY1" si="5">"Calendar Week-"&amp;WEEKNUM(AX3)&amp;" ("&amp;YEAR(AX3)&amp;")"</f>
        <v>Calendar Week-24 (2026)</v>
      </c>
      <c r="AY1" s="20"/>
      <c r="AZ1" s="20"/>
      <c r="BA1" s="20"/>
      <c r="BB1" s="20"/>
      <c r="BC1" s="20"/>
      <c r="BD1" s="20"/>
      <c r="BE1" s="20" t="str">
        <f t="shared" si="5"/>
        <v>Calendar Week-25 (2026)</v>
      </c>
      <c r="BF1" s="20"/>
      <c r="BG1" s="20"/>
      <c r="BH1" s="20"/>
      <c r="BI1" s="20"/>
      <c r="BJ1" s="20"/>
      <c r="BK1" s="20"/>
      <c r="BL1" s="20" t="str">
        <f t="shared" si="5"/>
        <v>Calendar Week-26 (2026)</v>
      </c>
      <c r="BM1" s="20"/>
      <c r="BN1" s="20"/>
      <c r="BO1" s="20"/>
      <c r="BP1" s="20"/>
      <c r="BQ1" s="20"/>
      <c r="BR1" s="20"/>
      <c r="BS1" s="20" t="str">
        <f t="shared" si="5"/>
        <v>Calendar Week-27 (2026)</v>
      </c>
      <c r="BT1" s="20"/>
      <c r="BU1" s="20"/>
      <c r="BV1" s="20"/>
      <c r="BW1" s="20"/>
      <c r="BX1" s="20"/>
      <c r="BY1" s="20"/>
    </row>
    <row r="2" spans="1:77" s="8" customFormat="1" ht="20.25" x14ac:dyDescent="0.3">
      <c r="A2" s="9">
        <v>46143</v>
      </c>
      <c r="B2" s="6"/>
      <c r="C2" s="6"/>
      <c r="D2" s="6"/>
      <c r="E2" s="6"/>
      <c r="F2" s="6"/>
      <c r="G2" s="6"/>
      <c r="H2" s="20" t="str">
        <f>TEXT(H3,"mmmm")</f>
        <v>April</v>
      </c>
      <c r="I2" s="20"/>
      <c r="J2" s="20"/>
      <c r="K2" s="20"/>
      <c r="L2" s="20" t="str">
        <f t="shared" ref="L2" si="6">TEXT(L3,"mmmm")</f>
        <v>May</v>
      </c>
      <c r="M2" s="20"/>
      <c r="N2" s="20"/>
      <c r="O2" s="20"/>
      <c r="P2" s="20"/>
      <c r="Q2" s="20"/>
      <c r="R2" s="20"/>
      <c r="S2" s="20" t="str">
        <f t="shared" ref="S2" si="7">TEXT(S3,"mmmm")</f>
        <v>May</v>
      </c>
      <c r="T2" s="20"/>
      <c r="U2" s="20"/>
      <c r="V2" s="20"/>
      <c r="W2" s="20"/>
      <c r="X2" s="20"/>
      <c r="Y2" s="20"/>
      <c r="Z2" s="20" t="str">
        <f t="shared" ref="Z2" si="8">TEXT(Z3,"mmmm")</f>
        <v>May</v>
      </c>
      <c r="AA2" s="20"/>
      <c r="AB2" s="20"/>
      <c r="AC2" s="20"/>
      <c r="AD2" s="20"/>
      <c r="AE2" s="20"/>
      <c r="AF2" s="20"/>
      <c r="AG2" s="20" t="str">
        <f t="shared" ref="AG2" si="9">TEXT(AG3,"mmmm")</f>
        <v>May</v>
      </c>
      <c r="AH2" s="20"/>
      <c r="AI2" s="20"/>
      <c r="AJ2" s="20"/>
      <c r="AK2" s="20"/>
      <c r="AL2" s="20"/>
      <c r="AM2" s="20"/>
      <c r="AN2" s="20" t="str">
        <f t="shared" ref="AN2" si="10">TEXT(AN3,"mmmm")</f>
        <v>May</v>
      </c>
      <c r="AO2" s="20"/>
      <c r="AP2" s="20"/>
      <c r="AQ2" s="20" t="str">
        <f>TEXT(AQ3,"mmmm")</f>
        <v>June</v>
      </c>
      <c r="AR2" s="20"/>
      <c r="AS2" s="20"/>
      <c r="AT2" s="20"/>
      <c r="AU2" s="20"/>
      <c r="AV2" s="20"/>
      <c r="AW2" s="20"/>
      <c r="AX2" s="20" t="str">
        <f>TEXT(AX3,"mmmm")</f>
        <v>June</v>
      </c>
      <c r="AY2" s="20"/>
      <c r="AZ2" s="20"/>
      <c r="BA2" s="20"/>
      <c r="BB2" s="20"/>
      <c r="BC2" s="20"/>
      <c r="BD2" s="20"/>
      <c r="BE2" s="20" t="str">
        <f>TEXT(BE3,"mmmm")</f>
        <v>June</v>
      </c>
      <c r="BF2" s="20"/>
      <c r="BG2" s="20"/>
      <c r="BH2" s="20"/>
      <c r="BI2" s="20"/>
      <c r="BJ2" s="20"/>
      <c r="BK2" s="20"/>
      <c r="BL2" s="20" t="str">
        <f>TEXT(BL3,"mmmm")</f>
        <v>June</v>
      </c>
      <c r="BM2" s="20"/>
      <c r="BN2" s="20"/>
      <c r="BO2" s="20"/>
      <c r="BP2" s="20"/>
      <c r="BQ2" s="20"/>
      <c r="BR2" s="20"/>
      <c r="BS2" s="20" t="str">
        <f>TEXT(BS3,"mmmm")</f>
        <v>June</v>
      </c>
      <c r="BT2" s="20"/>
      <c r="BU2" s="20"/>
      <c r="BV2" s="20"/>
      <c r="BW2" s="20"/>
      <c r="BX2" s="20"/>
      <c r="BY2" s="20"/>
    </row>
    <row r="3" spans="1:77" s="8" customFormat="1" ht="20.25" x14ac:dyDescent="0.3">
      <c r="A3" s="12" t="s">
        <v>5</v>
      </c>
      <c r="B3" s="12" t="s">
        <v>6</v>
      </c>
      <c r="C3" s="12" t="s">
        <v>4</v>
      </c>
      <c r="D3" s="10" t="s">
        <v>7</v>
      </c>
      <c r="E3" s="10" t="s">
        <v>8</v>
      </c>
      <c r="F3" s="12" t="s">
        <v>9</v>
      </c>
      <c r="G3" s="12" t="s">
        <v>0</v>
      </c>
      <c r="H3" s="11">
        <f>A2-WEEKDAY(A2,3)</f>
        <v>46139</v>
      </c>
      <c r="I3" s="11">
        <f>H3+1</f>
        <v>46140</v>
      </c>
      <c r="J3" s="11">
        <f t="shared" ref="J3:AT3" si="11">I3+1</f>
        <v>46141</v>
      </c>
      <c r="K3" s="11">
        <f t="shared" si="11"/>
        <v>46142</v>
      </c>
      <c r="L3" s="11">
        <f t="shared" si="11"/>
        <v>46143</v>
      </c>
      <c r="M3" s="11">
        <f t="shared" si="11"/>
        <v>46144</v>
      </c>
      <c r="N3" s="11">
        <f t="shared" si="11"/>
        <v>46145</v>
      </c>
      <c r="O3" s="11">
        <f t="shared" si="11"/>
        <v>46146</v>
      </c>
      <c r="P3" s="11">
        <f t="shared" si="11"/>
        <v>46147</v>
      </c>
      <c r="Q3" s="11">
        <f t="shared" si="11"/>
        <v>46148</v>
      </c>
      <c r="R3" s="11">
        <f t="shared" si="11"/>
        <v>46149</v>
      </c>
      <c r="S3" s="11">
        <f t="shared" si="11"/>
        <v>46150</v>
      </c>
      <c r="T3" s="11">
        <f t="shared" si="11"/>
        <v>46151</v>
      </c>
      <c r="U3" s="11">
        <f t="shared" si="11"/>
        <v>46152</v>
      </c>
      <c r="V3" s="11">
        <f t="shared" si="11"/>
        <v>46153</v>
      </c>
      <c r="W3" s="11">
        <f t="shared" si="11"/>
        <v>46154</v>
      </c>
      <c r="X3" s="11">
        <f t="shared" si="11"/>
        <v>46155</v>
      </c>
      <c r="Y3" s="11">
        <f t="shared" si="11"/>
        <v>46156</v>
      </c>
      <c r="Z3" s="11">
        <f t="shared" si="11"/>
        <v>46157</v>
      </c>
      <c r="AA3" s="11">
        <f t="shared" si="11"/>
        <v>46158</v>
      </c>
      <c r="AB3" s="11">
        <f t="shared" si="11"/>
        <v>46159</v>
      </c>
      <c r="AC3" s="11">
        <f t="shared" si="11"/>
        <v>46160</v>
      </c>
      <c r="AD3" s="11">
        <f t="shared" si="11"/>
        <v>46161</v>
      </c>
      <c r="AE3" s="11">
        <f t="shared" si="11"/>
        <v>46162</v>
      </c>
      <c r="AF3" s="11">
        <f t="shared" si="11"/>
        <v>46163</v>
      </c>
      <c r="AG3" s="11">
        <f t="shared" si="11"/>
        <v>46164</v>
      </c>
      <c r="AH3" s="11">
        <f t="shared" si="11"/>
        <v>46165</v>
      </c>
      <c r="AI3" s="11">
        <f t="shared" si="11"/>
        <v>46166</v>
      </c>
      <c r="AJ3" s="11">
        <f t="shared" si="11"/>
        <v>46167</v>
      </c>
      <c r="AK3" s="11">
        <f t="shared" si="11"/>
        <v>46168</v>
      </c>
      <c r="AL3" s="11">
        <f t="shared" si="11"/>
        <v>46169</v>
      </c>
      <c r="AM3" s="11">
        <f t="shared" si="11"/>
        <v>46170</v>
      </c>
      <c r="AN3" s="11">
        <f t="shared" si="11"/>
        <v>46171</v>
      </c>
      <c r="AO3" s="11">
        <f t="shared" si="11"/>
        <v>46172</v>
      </c>
      <c r="AP3" s="11">
        <f t="shared" si="11"/>
        <v>46173</v>
      </c>
      <c r="AQ3" s="11">
        <f t="shared" si="11"/>
        <v>46174</v>
      </c>
      <c r="AR3" s="11">
        <f t="shared" si="11"/>
        <v>46175</v>
      </c>
      <c r="AS3" s="11">
        <f t="shared" si="11"/>
        <v>46176</v>
      </c>
      <c r="AT3" s="11">
        <f t="shared" si="11"/>
        <v>46177</v>
      </c>
      <c r="AU3" s="11">
        <f t="shared" ref="AU3" si="12">AT3+1</f>
        <v>46178</v>
      </c>
      <c r="AV3" s="11">
        <f t="shared" ref="AV3" si="13">AU3+1</f>
        <v>46179</v>
      </c>
      <c r="AW3" s="11">
        <f t="shared" ref="AW3" si="14">AV3+1</f>
        <v>46180</v>
      </c>
      <c r="AX3" s="11">
        <f t="shared" ref="AX3" si="15">AW3+1</f>
        <v>46181</v>
      </c>
      <c r="AY3" s="11">
        <f t="shared" ref="AY3" si="16">AX3+1</f>
        <v>46182</v>
      </c>
      <c r="AZ3" s="11">
        <f t="shared" ref="AZ3" si="17">AY3+1</f>
        <v>46183</v>
      </c>
      <c r="BA3" s="11">
        <f t="shared" ref="BA3" si="18">AZ3+1</f>
        <v>46184</v>
      </c>
      <c r="BB3" s="11">
        <f t="shared" ref="BB3" si="19">BA3+1</f>
        <v>46185</v>
      </c>
      <c r="BC3" s="11">
        <f t="shared" ref="BC3" si="20">BB3+1</f>
        <v>46186</v>
      </c>
      <c r="BD3" s="11">
        <f t="shared" ref="BD3" si="21">BC3+1</f>
        <v>46187</v>
      </c>
      <c r="BE3" s="11">
        <f t="shared" ref="BE3" si="22">BD3+1</f>
        <v>46188</v>
      </c>
      <c r="BF3" s="11">
        <f t="shared" ref="BF3" si="23">BE3+1</f>
        <v>46189</v>
      </c>
      <c r="BG3" s="11">
        <f t="shared" ref="BG3" si="24">BF3+1</f>
        <v>46190</v>
      </c>
      <c r="BH3" s="11">
        <f t="shared" ref="BH3" si="25">BG3+1</f>
        <v>46191</v>
      </c>
      <c r="BI3" s="11">
        <f t="shared" ref="BI3" si="26">BH3+1</f>
        <v>46192</v>
      </c>
      <c r="BJ3" s="11">
        <f t="shared" ref="BJ3" si="27">BI3+1</f>
        <v>46193</v>
      </c>
      <c r="BK3" s="11">
        <f t="shared" ref="BK3" si="28">BJ3+1</f>
        <v>46194</v>
      </c>
      <c r="BL3" s="11">
        <f t="shared" ref="BL3" si="29">BK3+1</f>
        <v>46195</v>
      </c>
      <c r="BM3" s="11">
        <f t="shared" ref="BM3" si="30">BL3+1</f>
        <v>46196</v>
      </c>
      <c r="BN3" s="11">
        <f t="shared" ref="BN3" si="31">BM3+1</f>
        <v>46197</v>
      </c>
      <c r="BO3" s="11">
        <f t="shared" ref="BO3" si="32">BN3+1</f>
        <v>46198</v>
      </c>
      <c r="BP3" s="11">
        <f t="shared" ref="BP3" si="33">BO3+1</f>
        <v>46199</v>
      </c>
      <c r="BQ3" s="11">
        <f t="shared" ref="BQ3" si="34">BP3+1</f>
        <v>46200</v>
      </c>
      <c r="BR3" s="11">
        <f t="shared" ref="BR3" si="35">BQ3+1</f>
        <v>46201</v>
      </c>
      <c r="BS3" s="11">
        <f t="shared" ref="BS3" si="36">BR3+1</f>
        <v>46202</v>
      </c>
      <c r="BT3" s="11">
        <f t="shared" ref="BT3" si="37">BS3+1</f>
        <v>46203</v>
      </c>
      <c r="BU3" s="11">
        <f t="shared" ref="BU3" si="38">BT3+1</f>
        <v>46204</v>
      </c>
      <c r="BV3" s="11">
        <f t="shared" ref="BV3" si="39">BU3+1</f>
        <v>46205</v>
      </c>
      <c r="BW3" s="11">
        <f t="shared" ref="BW3" si="40">BV3+1</f>
        <v>46206</v>
      </c>
      <c r="BX3" s="11">
        <f t="shared" ref="BX3" si="41">BW3+1</f>
        <v>46207</v>
      </c>
      <c r="BY3" s="11">
        <f t="shared" ref="BY3" si="42">BX3+1</f>
        <v>46208</v>
      </c>
    </row>
    <row r="4" spans="1:77" s="8" customFormat="1" ht="20.45" customHeight="1" x14ac:dyDescent="0.3">
      <c r="A4" s="12"/>
      <c r="B4" s="12"/>
      <c r="C4" s="16"/>
      <c r="D4" s="10" t="s">
        <v>40</v>
      </c>
      <c r="E4" s="10" t="s">
        <v>10</v>
      </c>
      <c r="F4" s="12"/>
      <c r="G4" s="12"/>
      <c r="H4" s="7" t="str">
        <f>LEFT(TEXT(H3,"dddd"),3)</f>
        <v>Mon</v>
      </c>
      <c r="I4" s="7" t="str">
        <f t="shared" ref="I4:BT4" si="43">LEFT(TEXT(I3,"dddd"),3)</f>
        <v>Tue</v>
      </c>
      <c r="J4" s="7" t="str">
        <f t="shared" si="43"/>
        <v>Wed</v>
      </c>
      <c r="K4" s="7" t="str">
        <f t="shared" si="43"/>
        <v>Thu</v>
      </c>
      <c r="L4" s="7" t="str">
        <f t="shared" si="43"/>
        <v>Fri</v>
      </c>
      <c r="M4" s="7" t="str">
        <f t="shared" si="43"/>
        <v>Sat</v>
      </c>
      <c r="N4" s="7" t="str">
        <f t="shared" si="43"/>
        <v>Sun</v>
      </c>
      <c r="O4" s="7" t="str">
        <f t="shared" si="43"/>
        <v>Mon</v>
      </c>
      <c r="P4" s="7" t="str">
        <f t="shared" si="43"/>
        <v>Tue</v>
      </c>
      <c r="Q4" s="7" t="str">
        <f t="shared" si="43"/>
        <v>Wed</v>
      </c>
      <c r="R4" s="7" t="str">
        <f t="shared" si="43"/>
        <v>Thu</v>
      </c>
      <c r="S4" s="7" t="str">
        <f t="shared" si="43"/>
        <v>Fri</v>
      </c>
      <c r="T4" s="7" t="str">
        <f t="shared" si="43"/>
        <v>Sat</v>
      </c>
      <c r="U4" s="7" t="str">
        <f t="shared" si="43"/>
        <v>Sun</v>
      </c>
      <c r="V4" s="7" t="str">
        <f t="shared" si="43"/>
        <v>Mon</v>
      </c>
      <c r="W4" s="7" t="str">
        <f t="shared" si="43"/>
        <v>Tue</v>
      </c>
      <c r="X4" s="7" t="str">
        <f t="shared" si="43"/>
        <v>Wed</v>
      </c>
      <c r="Y4" s="7" t="str">
        <f t="shared" si="43"/>
        <v>Thu</v>
      </c>
      <c r="Z4" s="7" t="str">
        <f t="shared" si="43"/>
        <v>Fri</v>
      </c>
      <c r="AA4" s="7" t="str">
        <f t="shared" si="43"/>
        <v>Sat</v>
      </c>
      <c r="AB4" s="7" t="str">
        <f t="shared" si="43"/>
        <v>Sun</v>
      </c>
      <c r="AC4" s="7" t="str">
        <f t="shared" si="43"/>
        <v>Mon</v>
      </c>
      <c r="AD4" s="7" t="str">
        <f t="shared" si="43"/>
        <v>Tue</v>
      </c>
      <c r="AE4" s="7" t="str">
        <f t="shared" si="43"/>
        <v>Wed</v>
      </c>
      <c r="AF4" s="7" t="str">
        <f t="shared" si="43"/>
        <v>Thu</v>
      </c>
      <c r="AG4" s="7" t="str">
        <f t="shared" si="43"/>
        <v>Fri</v>
      </c>
      <c r="AH4" s="7" t="str">
        <f t="shared" si="43"/>
        <v>Sat</v>
      </c>
      <c r="AI4" s="7" t="str">
        <f t="shared" si="43"/>
        <v>Sun</v>
      </c>
      <c r="AJ4" s="7" t="str">
        <f t="shared" si="43"/>
        <v>Mon</v>
      </c>
      <c r="AK4" s="7" t="str">
        <f t="shared" si="43"/>
        <v>Tue</v>
      </c>
      <c r="AL4" s="7" t="str">
        <f t="shared" si="43"/>
        <v>Wed</v>
      </c>
      <c r="AM4" s="7" t="str">
        <f t="shared" si="43"/>
        <v>Thu</v>
      </c>
      <c r="AN4" s="7" t="str">
        <f t="shared" si="43"/>
        <v>Fri</v>
      </c>
      <c r="AO4" s="7" t="str">
        <f t="shared" si="43"/>
        <v>Sat</v>
      </c>
      <c r="AP4" s="7" t="str">
        <f t="shared" si="43"/>
        <v>Sun</v>
      </c>
      <c r="AQ4" s="7" t="str">
        <f t="shared" si="43"/>
        <v>Mon</v>
      </c>
      <c r="AR4" s="7" t="str">
        <f t="shared" si="43"/>
        <v>Tue</v>
      </c>
      <c r="AS4" s="7" t="str">
        <f t="shared" si="43"/>
        <v>Wed</v>
      </c>
      <c r="AT4" s="7" t="str">
        <f t="shared" si="43"/>
        <v>Thu</v>
      </c>
      <c r="AU4" s="7" t="str">
        <f t="shared" si="43"/>
        <v>Fri</v>
      </c>
      <c r="AV4" s="7" t="str">
        <f t="shared" si="43"/>
        <v>Sat</v>
      </c>
      <c r="AW4" s="7" t="str">
        <f t="shared" si="43"/>
        <v>Sun</v>
      </c>
      <c r="AX4" s="7" t="str">
        <f t="shared" si="43"/>
        <v>Mon</v>
      </c>
      <c r="AY4" s="7" t="str">
        <f t="shared" si="43"/>
        <v>Tue</v>
      </c>
      <c r="AZ4" s="7" t="str">
        <f t="shared" si="43"/>
        <v>Wed</v>
      </c>
      <c r="BA4" s="7" t="str">
        <f t="shared" si="43"/>
        <v>Thu</v>
      </c>
      <c r="BB4" s="7" t="str">
        <f t="shared" si="43"/>
        <v>Fri</v>
      </c>
      <c r="BC4" s="7" t="str">
        <f t="shared" si="43"/>
        <v>Sat</v>
      </c>
      <c r="BD4" s="7" t="str">
        <f t="shared" si="43"/>
        <v>Sun</v>
      </c>
      <c r="BE4" s="7" t="str">
        <f t="shared" si="43"/>
        <v>Mon</v>
      </c>
      <c r="BF4" s="7" t="str">
        <f t="shared" si="43"/>
        <v>Tue</v>
      </c>
      <c r="BG4" s="7" t="str">
        <f t="shared" si="43"/>
        <v>Wed</v>
      </c>
      <c r="BH4" s="7" t="str">
        <f t="shared" si="43"/>
        <v>Thu</v>
      </c>
      <c r="BI4" s="7" t="str">
        <f t="shared" si="43"/>
        <v>Fri</v>
      </c>
      <c r="BJ4" s="7" t="str">
        <f t="shared" si="43"/>
        <v>Sat</v>
      </c>
      <c r="BK4" s="7" t="str">
        <f t="shared" si="43"/>
        <v>Sun</v>
      </c>
      <c r="BL4" s="7" t="str">
        <f t="shared" si="43"/>
        <v>Mon</v>
      </c>
      <c r="BM4" s="7" t="str">
        <f t="shared" si="43"/>
        <v>Tue</v>
      </c>
      <c r="BN4" s="7" t="str">
        <f t="shared" si="43"/>
        <v>Wed</v>
      </c>
      <c r="BO4" s="7" t="str">
        <f t="shared" si="43"/>
        <v>Thu</v>
      </c>
      <c r="BP4" s="7" t="str">
        <f t="shared" si="43"/>
        <v>Fri</v>
      </c>
      <c r="BQ4" s="7" t="str">
        <f t="shared" si="43"/>
        <v>Sat</v>
      </c>
      <c r="BR4" s="7" t="str">
        <f t="shared" si="43"/>
        <v>Sun</v>
      </c>
      <c r="BS4" s="7" t="str">
        <f t="shared" si="43"/>
        <v>Mon</v>
      </c>
      <c r="BT4" s="7" t="str">
        <f t="shared" si="43"/>
        <v>Tue</v>
      </c>
      <c r="BU4" s="7" t="str">
        <f t="shared" ref="BU4:BY4" si="44">LEFT(TEXT(BU3,"dddd"),3)</f>
        <v>Wed</v>
      </c>
      <c r="BV4" s="7" t="str">
        <f t="shared" si="44"/>
        <v>Thu</v>
      </c>
      <c r="BW4" s="7" t="str">
        <f t="shared" si="44"/>
        <v>Fri</v>
      </c>
      <c r="BX4" s="7" t="str">
        <f t="shared" si="44"/>
        <v>Sat</v>
      </c>
      <c r="BY4" s="7" t="str">
        <f t="shared" si="44"/>
        <v>Sun</v>
      </c>
    </row>
    <row r="5" spans="1:77" ht="27.6" customHeight="1" x14ac:dyDescent="0.3">
      <c r="A5" s="17">
        <v>1</v>
      </c>
      <c r="B5" s="18" t="s">
        <v>12</v>
      </c>
      <c r="C5" s="17">
        <f>E5-D5+1</f>
        <v>5</v>
      </c>
      <c r="D5" s="19">
        <v>46143</v>
      </c>
      <c r="E5" s="19">
        <v>46147</v>
      </c>
      <c r="F5" s="17" t="s">
        <v>1</v>
      </c>
      <c r="G5" s="17" t="s">
        <v>2</v>
      </c>
      <c r="H5" s="2" t="str">
        <f>IF($B5="","",IF(AND($D5&lt;=H$3,$E5&gt;=H$3),"a",""))</f>
        <v/>
      </c>
      <c r="I5" s="2" t="str">
        <f t="shared" ref="I5:BT45" si="45">IF($B5="","",IF(AND($D5&lt;=I$3,$E5&gt;=I$3),"a",""))</f>
        <v/>
      </c>
      <c r="J5" s="2" t="str">
        <f t="shared" si="45"/>
        <v/>
      </c>
      <c r="K5" s="2" t="str">
        <f t="shared" si="45"/>
        <v/>
      </c>
      <c r="L5" s="2" t="str">
        <f t="shared" si="45"/>
        <v>a</v>
      </c>
      <c r="M5" s="2" t="str">
        <f t="shared" si="45"/>
        <v>a</v>
      </c>
      <c r="N5" s="2" t="str">
        <f t="shared" si="45"/>
        <v>a</v>
      </c>
      <c r="O5" s="2" t="str">
        <f t="shared" si="45"/>
        <v>a</v>
      </c>
      <c r="P5" s="2" t="str">
        <f t="shared" si="45"/>
        <v>a</v>
      </c>
      <c r="Q5" s="2" t="str">
        <f t="shared" si="45"/>
        <v/>
      </c>
      <c r="R5" s="2" t="str">
        <f t="shared" si="45"/>
        <v/>
      </c>
      <c r="S5" s="2" t="str">
        <f t="shared" si="45"/>
        <v/>
      </c>
      <c r="T5" s="2" t="str">
        <f t="shared" si="45"/>
        <v/>
      </c>
      <c r="U5" s="2" t="str">
        <f t="shared" si="45"/>
        <v/>
      </c>
      <c r="V5" s="2" t="str">
        <f t="shared" si="45"/>
        <v/>
      </c>
      <c r="W5" s="2" t="str">
        <f t="shared" si="45"/>
        <v/>
      </c>
      <c r="X5" s="2" t="str">
        <f t="shared" si="45"/>
        <v/>
      </c>
      <c r="Y5" s="2" t="str">
        <f t="shared" si="45"/>
        <v/>
      </c>
      <c r="Z5" s="2" t="str">
        <f t="shared" si="45"/>
        <v/>
      </c>
      <c r="AA5" s="2" t="str">
        <f t="shared" si="45"/>
        <v/>
      </c>
      <c r="AB5" s="2" t="str">
        <f t="shared" si="45"/>
        <v/>
      </c>
      <c r="AC5" s="2" t="str">
        <f t="shared" si="45"/>
        <v/>
      </c>
      <c r="AD5" s="2" t="str">
        <f t="shared" si="45"/>
        <v/>
      </c>
      <c r="AE5" s="2" t="str">
        <f t="shared" si="45"/>
        <v/>
      </c>
      <c r="AF5" s="2" t="str">
        <f t="shared" si="45"/>
        <v/>
      </c>
      <c r="AG5" s="2" t="str">
        <f t="shared" si="45"/>
        <v/>
      </c>
      <c r="AH5" s="2" t="str">
        <f t="shared" si="45"/>
        <v/>
      </c>
      <c r="AI5" s="2" t="str">
        <f t="shared" si="45"/>
        <v/>
      </c>
      <c r="AJ5" s="2" t="str">
        <f t="shared" si="45"/>
        <v/>
      </c>
      <c r="AK5" s="2" t="str">
        <f t="shared" si="45"/>
        <v/>
      </c>
      <c r="AL5" s="2" t="str">
        <f t="shared" si="45"/>
        <v/>
      </c>
      <c r="AM5" s="2" t="str">
        <f t="shared" si="45"/>
        <v/>
      </c>
      <c r="AN5" s="2" t="str">
        <f t="shared" si="45"/>
        <v/>
      </c>
      <c r="AO5" s="2" t="str">
        <f t="shared" si="45"/>
        <v/>
      </c>
      <c r="AP5" s="2" t="str">
        <f t="shared" si="45"/>
        <v/>
      </c>
      <c r="AQ5" s="2" t="str">
        <f t="shared" si="45"/>
        <v/>
      </c>
      <c r="AR5" s="2" t="str">
        <f t="shared" si="45"/>
        <v/>
      </c>
      <c r="AS5" s="2" t="str">
        <f t="shared" si="45"/>
        <v/>
      </c>
      <c r="AT5" s="2" t="str">
        <f t="shared" si="45"/>
        <v/>
      </c>
      <c r="AU5" s="2" t="str">
        <f t="shared" si="45"/>
        <v/>
      </c>
      <c r="AV5" s="2" t="str">
        <f t="shared" si="45"/>
        <v/>
      </c>
      <c r="AW5" s="2" t="str">
        <f t="shared" si="45"/>
        <v/>
      </c>
      <c r="AX5" s="2" t="str">
        <f t="shared" si="45"/>
        <v/>
      </c>
      <c r="AY5" s="2" t="str">
        <f t="shared" si="45"/>
        <v/>
      </c>
      <c r="AZ5" s="2" t="str">
        <f t="shared" si="45"/>
        <v/>
      </c>
      <c r="BA5" s="2" t="str">
        <f t="shared" si="45"/>
        <v/>
      </c>
      <c r="BB5" s="2" t="str">
        <f t="shared" si="45"/>
        <v/>
      </c>
      <c r="BC5" s="2" t="str">
        <f t="shared" si="45"/>
        <v/>
      </c>
      <c r="BD5" s="2" t="str">
        <f t="shared" si="45"/>
        <v/>
      </c>
      <c r="BE5" s="2" t="str">
        <f t="shared" si="45"/>
        <v/>
      </c>
      <c r="BF5" s="2" t="str">
        <f t="shared" si="45"/>
        <v/>
      </c>
      <c r="BG5" s="2" t="str">
        <f t="shared" si="45"/>
        <v/>
      </c>
      <c r="BH5" s="2" t="str">
        <f t="shared" si="45"/>
        <v/>
      </c>
      <c r="BI5" s="2" t="str">
        <f t="shared" si="45"/>
        <v/>
      </c>
      <c r="BJ5" s="2" t="str">
        <f t="shared" si="45"/>
        <v/>
      </c>
      <c r="BK5" s="2" t="str">
        <f t="shared" si="45"/>
        <v/>
      </c>
      <c r="BL5" s="2" t="str">
        <f t="shared" si="45"/>
        <v/>
      </c>
      <c r="BM5" s="2" t="str">
        <f t="shared" si="45"/>
        <v/>
      </c>
      <c r="BN5" s="2" t="str">
        <f t="shared" si="45"/>
        <v/>
      </c>
      <c r="BO5" s="2" t="str">
        <f t="shared" si="45"/>
        <v/>
      </c>
      <c r="BP5" s="2" t="str">
        <f t="shared" si="45"/>
        <v/>
      </c>
      <c r="BQ5" s="2" t="str">
        <f t="shared" si="45"/>
        <v/>
      </c>
      <c r="BR5" s="2" t="str">
        <f t="shared" si="45"/>
        <v/>
      </c>
      <c r="BS5" s="2" t="str">
        <f t="shared" si="45"/>
        <v/>
      </c>
      <c r="BT5" s="2" t="str">
        <f t="shared" si="45"/>
        <v/>
      </c>
      <c r="BU5" s="2" t="str">
        <f t="shared" ref="BU5:BY5" si="46">IF($B5="","",IF(AND($D5&lt;=BU$3,$E5&gt;=BU$3),"a",""))</f>
        <v/>
      </c>
      <c r="BV5" s="2" t="str">
        <f t="shared" si="46"/>
        <v/>
      </c>
      <c r="BW5" s="2" t="str">
        <f t="shared" si="46"/>
        <v/>
      </c>
      <c r="BX5" s="2" t="str">
        <f t="shared" si="46"/>
        <v/>
      </c>
      <c r="BY5" s="2" t="str">
        <f t="shared" si="46"/>
        <v/>
      </c>
    </row>
    <row r="6" spans="1:77" ht="20.25" x14ac:dyDescent="0.3">
      <c r="A6" s="17"/>
      <c r="B6" s="18"/>
      <c r="C6" s="17"/>
      <c r="D6" s="19">
        <v>46143</v>
      </c>
      <c r="E6" s="19">
        <v>46147</v>
      </c>
      <c r="F6" s="17"/>
      <c r="G6" s="17"/>
      <c r="H6" s="2" t="str">
        <f>IF($B5="","",IF(AND($D6&lt;=H$3,$E6&gt;=H$3),"ac",""))</f>
        <v/>
      </c>
      <c r="I6" s="2" t="str">
        <f t="shared" ref="I6:X6" si="47">IF($B5="","",IF(AND($D6&lt;=I$3,$E6&gt;=I$3),"ac",""))</f>
        <v/>
      </c>
      <c r="J6" s="2" t="str">
        <f t="shared" si="47"/>
        <v/>
      </c>
      <c r="K6" s="2" t="str">
        <f t="shared" si="47"/>
        <v/>
      </c>
      <c r="L6" s="2" t="str">
        <f t="shared" si="47"/>
        <v>ac</v>
      </c>
      <c r="M6" s="2" t="str">
        <f t="shared" si="47"/>
        <v>ac</v>
      </c>
      <c r="N6" s="2" t="str">
        <f t="shared" si="47"/>
        <v>ac</v>
      </c>
      <c r="O6" s="2" t="str">
        <f t="shared" si="47"/>
        <v>ac</v>
      </c>
      <c r="P6" s="2" t="str">
        <f t="shared" si="47"/>
        <v>ac</v>
      </c>
      <c r="Q6" s="2" t="str">
        <f t="shared" si="47"/>
        <v/>
      </c>
      <c r="R6" s="2" t="str">
        <f t="shared" si="47"/>
        <v/>
      </c>
      <c r="S6" s="2" t="str">
        <f t="shared" si="47"/>
        <v/>
      </c>
      <c r="T6" s="2" t="str">
        <f t="shared" si="47"/>
        <v/>
      </c>
      <c r="U6" s="2" t="str">
        <f t="shared" si="47"/>
        <v/>
      </c>
      <c r="V6" s="2" t="str">
        <f t="shared" si="47"/>
        <v/>
      </c>
      <c r="W6" s="2" t="str">
        <f t="shared" si="47"/>
        <v/>
      </c>
      <c r="X6" s="2" t="str">
        <f t="shared" si="47"/>
        <v/>
      </c>
      <c r="Y6" s="2" t="str">
        <f t="shared" ref="Y6" si="48">IF($B5="","",IF(AND($D6&lt;=Y$3,$E6&gt;=Y$3),"ac",""))</f>
        <v/>
      </c>
      <c r="Z6" s="2" t="str">
        <f t="shared" ref="Z6" si="49">IF($B5="","",IF(AND($D6&lt;=Z$3,$E6&gt;=Z$3),"ac",""))</f>
        <v/>
      </c>
      <c r="AA6" s="2" t="str">
        <f t="shared" ref="AA6" si="50">IF($B5="","",IF(AND($D6&lt;=AA$3,$E6&gt;=AA$3),"ac",""))</f>
        <v/>
      </c>
      <c r="AB6" s="2" t="str">
        <f t="shared" ref="AB6" si="51">IF($B5="","",IF(AND($D6&lt;=AB$3,$E6&gt;=AB$3),"ac",""))</f>
        <v/>
      </c>
      <c r="AC6" s="2" t="str">
        <f t="shared" ref="AC6" si="52">IF($B5="","",IF(AND($D6&lt;=AC$3,$E6&gt;=AC$3),"ac",""))</f>
        <v/>
      </c>
      <c r="AD6" s="2" t="str">
        <f t="shared" ref="AD6" si="53">IF($B5="","",IF(AND($D6&lt;=AD$3,$E6&gt;=AD$3),"ac",""))</f>
        <v/>
      </c>
      <c r="AE6" s="2" t="str">
        <f t="shared" ref="AE6" si="54">IF($B5="","",IF(AND($D6&lt;=AE$3,$E6&gt;=AE$3),"ac",""))</f>
        <v/>
      </c>
      <c r="AF6" s="2" t="str">
        <f t="shared" ref="AF6" si="55">IF($B5="","",IF(AND($D6&lt;=AF$3,$E6&gt;=AF$3),"ac",""))</f>
        <v/>
      </c>
      <c r="AG6" s="2" t="str">
        <f t="shared" ref="AG6" si="56">IF($B5="","",IF(AND($D6&lt;=AG$3,$E6&gt;=AG$3),"ac",""))</f>
        <v/>
      </c>
      <c r="AH6" s="2" t="str">
        <f t="shared" ref="AH6" si="57">IF($B5="","",IF(AND($D6&lt;=AH$3,$E6&gt;=AH$3),"ac",""))</f>
        <v/>
      </c>
      <c r="AI6" s="2" t="str">
        <f t="shared" ref="AI6" si="58">IF($B5="","",IF(AND($D6&lt;=AI$3,$E6&gt;=AI$3),"ac",""))</f>
        <v/>
      </c>
      <c r="AJ6" s="2" t="str">
        <f t="shared" ref="AJ6" si="59">IF($B5="","",IF(AND($D6&lt;=AJ$3,$E6&gt;=AJ$3),"ac",""))</f>
        <v/>
      </c>
      <c r="AK6" s="2" t="str">
        <f t="shared" ref="AK6" si="60">IF($B5="","",IF(AND($D6&lt;=AK$3,$E6&gt;=AK$3),"ac",""))</f>
        <v/>
      </c>
      <c r="AL6" s="2" t="str">
        <f t="shared" ref="AL6" si="61">IF($B5="","",IF(AND($D6&lt;=AL$3,$E6&gt;=AL$3),"ac",""))</f>
        <v/>
      </c>
      <c r="AM6" s="2" t="str">
        <f t="shared" ref="AM6:AN6" si="62">IF($B5="","",IF(AND($D6&lt;=AM$3,$E6&gt;=AM$3),"ac",""))</f>
        <v/>
      </c>
      <c r="AN6" s="2" t="str">
        <f t="shared" si="62"/>
        <v/>
      </c>
      <c r="AO6" s="2" t="str">
        <f t="shared" ref="AO6" si="63">IF($B5="","",IF(AND($D6&lt;=AO$3,$E6&gt;=AO$3),"ac",""))</f>
        <v/>
      </c>
      <c r="AP6" s="2" t="str">
        <f t="shared" ref="AP6" si="64">IF($B5="","",IF(AND($D6&lt;=AP$3,$E6&gt;=AP$3),"ac",""))</f>
        <v/>
      </c>
      <c r="AQ6" s="2" t="str">
        <f t="shared" ref="AQ6" si="65">IF($B5="","",IF(AND($D6&lt;=AQ$3,$E6&gt;=AQ$3),"ac",""))</f>
        <v/>
      </c>
      <c r="AR6" s="2" t="str">
        <f t="shared" ref="AR6" si="66">IF($B5="","",IF(AND($D6&lt;=AR$3,$E6&gt;=AR$3),"ac",""))</f>
        <v/>
      </c>
      <c r="AS6" s="2" t="str">
        <f t="shared" ref="AS6" si="67">IF($B5="","",IF(AND($D6&lt;=AS$3,$E6&gt;=AS$3),"ac",""))</f>
        <v/>
      </c>
      <c r="AT6" s="2" t="str">
        <f t="shared" ref="AT6" si="68">IF($B5="","",IF(AND($D6&lt;=AT$3,$E6&gt;=AT$3),"ac",""))</f>
        <v/>
      </c>
      <c r="AU6" s="2" t="str">
        <f t="shared" ref="AU6" si="69">IF($B5="","",IF(AND($D6&lt;=AU$3,$E6&gt;=AU$3),"ac",""))</f>
        <v/>
      </c>
      <c r="AV6" s="2" t="str">
        <f t="shared" ref="AV6" si="70">IF($B5="","",IF(AND($D6&lt;=AV$3,$E6&gt;=AV$3),"ac",""))</f>
        <v/>
      </c>
      <c r="AW6" s="2" t="str">
        <f t="shared" ref="AW6" si="71">IF($B5="","",IF(AND($D6&lt;=AW$3,$E6&gt;=AW$3),"ac",""))</f>
        <v/>
      </c>
      <c r="AX6" s="2" t="str">
        <f t="shared" ref="AX6" si="72">IF($B5="","",IF(AND($D6&lt;=AX$3,$E6&gt;=AX$3),"ac",""))</f>
        <v/>
      </c>
      <c r="AY6" s="2" t="str">
        <f t="shared" ref="AY6" si="73">IF($B5="","",IF(AND($D6&lt;=AY$3,$E6&gt;=AY$3),"ac",""))</f>
        <v/>
      </c>
      <c r="AZ6" s="2" t="str">
        <f t="shared" ref="AZ6" si="74">IF($B5="","",IF(AND($D6&lt;=AZ$3,$E6&gt;=AZ$3),"ac",""))</f>
        <v/>
      </c>
      <c r="BA6" s="2" t="str">
        <f t="shared" ref="BA6" si="75">IF($B5="","",IF(AND($D6&lt;=BA$3,$E6&gt;=BA$3),"ac",""))</f>
        <v/>
      </c>
      <c r="BB6" s="2" t="str">
        <f t="shared" ref="BB6" si="76">IF($B5="","",IF(AND($D6&lt;=BB$3,$E6&gt;=BB$3),"ac",""))</f>
        <v/>
      </c>
      <c r="BC6" s="2" t="str">
        <f t="shared" ref="BC6:BD6" si="77">IF($B5="","",IF(AND($D6&lt;=BC$3,$E6&gt;=BC$3),"ac",""))</f>
        <v/>
      </c>
      <c r="BD6" s="2" t="str">
        <f t="shared" si="77"/>
        <v/>
      </c>
      <c r="BE6" s="2" t="str">
        <f t="shared" ref="BE6" si="78">IF($B5="","",IF(AND($D6&lt;=BE$3,$E6&gt;=BE$3),"ac",""))</f>
        <v/>
      </c>
      <c r="BF6" s="2" t="str">
        <f t="shared" ref="BF6" si="79">IF($B5="","",IF(AND($D6&lt;=BF$3,$E6&gt;=BF$3),"ac",""))</f>
        <v/>
      </c>
      <c r="BG6" s="2" t="str">
        <f t="shared" ref="BG6" si="80">IF($B5="","",IF(AND($D6&lt;=BG$3,$E6&gt;=BG$3),"ac",""))</f>
        <v/>
      </c>
      <c r="BH6" s="2" t="str">
        <f t="shared" ref="BH6" si="81">IF($B5="","",IF(AND($D6&lt;=BH$3,$E6&gt;=BH$3),"ac",""))</f>
        <v/>
      </c>
      <c r="BI6" s="2" t="str">
        <f t="shared" ref="BI6" si="82">IF($B5="","",IF(AND($D6&lt;=BI$3,$E6&gt;=BI$3),"ac",""))</f>
        <v/>
      </c>
      <c r="BJ6" s="2" t="str">
        <f t="shared" ref="BJ6" si="83">IF($B5="","",IF(AND($D6&lt;=BJ$3,$E6&gt;=BJ$3),"ac",""))</f>
        <v/>
      </c>
      <c r="BK6" s="2" t="str">
        <f t="shared" ref="BK6" si="84">IF($B5="","",IF(AND($D6&lt;=BK$3,$E6&gt;=BK$3),"ac",""))</f>
        <v/>
      </c>
      <c r="BL6" s="2" t="str">
        <f t="shared" ref="BL6" si="85">IF($B5="","",IF(AND($D6&lt;=BL$3,$E6&gt;=BL$3),"ac",""))</f>
        <v/>
      </c>
      <c r="BM6" s="2" t="str">
        <f t="shared" ref="BM6" si="86">IF($B5="","",IF(AND($D6&lt;=BM$3,$E6&gt;=BM$3),"ac",""))</f>
        <v/>
      </c>
      <c r="BN6" s="2" t="str">
        <f t="shared" ref="BN6" si="87">IF($B5="","",IF(AND($D6&lt;=BN$3,$E6&gt;=BN$3),"ac",""))</f>
        <v/>
      </c>
      <c r="BO6" s="2" t="str">
        <f t="shared" ref="BO6" si="88">IF($B5="","",IF(AND($D6&lt;=BO$3,$E6&gt;=BO$3),"ac",""))</f>
        <v/>
      </c>
      <c r="BP6" s="2" t="str">
        <f t="shared" ref="BP6" si="89">IF($B5="","",IF(AND($D6&lt;=BP$3,$E6&gt;=BP$3),"ac",""))</f>
        <v/>
      </c>
      <c r="BQ6" s="2" t="str">
        <f t="shared" ref="BQ6" si="90">IF($B5="","",IF(AND($D6&lt;=BQ$3,$E6&gt;=BQ$3),"ac",""))</f>
        <v/>
      </c>
      <c r="BR6" s="2" t="str">
        <f t="shared" ref="BR6" si="91">IF($B5="","",IF(AND($D6&lt;=BR$3,$E6&gt;=BR$3),"ac",""))</f>
        <v/>
      </c>
      <c r="BS6" s="2" t="str">
        <f t="shared" ref="BS6:BT6" si="92">IF($B5="","",IF(AND($D6&lt;=BS$3,$E6&gt;=BS$3),"ac",""))</f>
        <v/>
      </c>
      <c r="BT6" s="2" t="str">
        <f t="shared" si="92"/>
        <v/>
      </c>
      <c r="BU6" s="2" t="str">
        <f t="shared" ref="BU6" si="93">IF($B5="","",IF(AND($D6&lt;=BU$3,$E6&gt;=BU$3),"ac",""))</f>
        <v/>
      </c>
      <c r="BV6" s="2" t="str">
        <f t="shared" ref="BV6" si="94">IF($B5="","",IF(AND($D6&lt;=BV$3,$E6&gt;=BV$3),"ac",""))</f>
        <v/>
      </c>
      <c r="BW6" s="2" t="str">
        <f t="shared" ref="BW6" si="95">IF($B5="","",IF(AND($D6&lt;=BW$3,$E6&gt;=BW$3),"ac",""))</f>
        <v/>
      </c>
      <c r="BX6" s="2" t="str">
        <f t="shared" ref="BX6" si="96">IF($B5="","",IF(AND($D6&lt;=BX$3,$E6&gt;=BX$3),"ac",""))</f>
        <v/>
      </c>
      <c r="BY6" s="2" t="str">
        <f t="shared" ref="BY6" si="97">IF($B5="","",IF(AND($D6&lt;=BY$3,$E6&gt;=BY$3),"ac",""))</f>
        <v/>
      </c>
    </row>
    <row r="7" spans="1:77" x14ac:dyDescent="0.3">
      <c r="A7" s="15">
        <v>1.1000000000000001</v>
      </c>
      <c r="B7" s="15" t="s">
        <v>29</v>
      </c>
      <c r="C7" s="15">
        <f t="shared" ref="C5:C58" si="98">E7-D7+1</f>
        <v>2</v>
      </c>
      <c r="D7" s="4">
        <v>46143</v>
      </c>
      <c r="E7" s="4">
        <v>46144</v>
      </c>
      <c r="F7" s="13" t="s">
        <v>1</v>
      </c>
      <c r="G7" s="13" t="s">
        <v>2</v>
      </c>
      <c r="H7" s="2" t="str">
        <f>IF($B7="","",IF(AND($D7&lt;=H$3,$E7&gt;=H$3),"a",""))</f>
        <v/>
      </c>
      <c r="I7" s="2" t="str">
        <f t="shared" si="45"/>
        <v/>
      </c>
      <c r="J7" s="2" t="str">
        <f t="shared" si="45"/>
        <v/>
      </c>
      <c r="K7" s="2" t="str">
        <f t="shared" si="45"/>
        <v/>
      </c>
      <c r="L7" s="2" t="str">
        <f t="shared" si="45"/>
        <v>a</v>
      </c>
      <c r="M7" s="2" t="str">
        <f t="shared" si="45"/>
        <v>a</v>
      </c>
      <c r="N7" s="2" t="str">
        <f t="shared" si="45"/>
        <v/>
      </c>
      <c r="O7" s="2" t="str">
        <f t="shared" si="45"/>
        <v/>
      </c>
      <c r="P7" s="2" t="str">
        <f t="shared" si="45"/>
        <v/>
      </c>
      <c r="Q7" s="2" t="str">
        <f t="shared" si="45"/>
        <v/>
      </c>
      <c r="R7" s="2" t="str">
        <f t="shared" ref="I5:AT17" si="99">IF($B7="","",IF(AND($D7&lt;=R$3,$E7&gt;=R$3),"a",""))</f>
        <v/>
      </c>
      <c r="S7" s="2" t="str">
        <f t="shared" si="99"/>
        <v/>
      </c>
      <c r="T7" s="2" t="str">
        <f t="shared" si="99"/>
        <v/>
      </c>
      <c r="U7" s="2" t="str">
        <f t="shared" si="99"/>
        <v/>
      </c>
      <c r="V7" s="2" t="str">
        <f t="shared" si="99"/>
        <v/>
      </c>
      <c r="W7" s="2" t="str">
        <f t="shared" si="99"/>
        <v/>
      </c>
      <c r="X7" s="2" t="str">
        <f t="shared" si="99"/>
        <v/>
      </c>
      <c r="Y7" s="2" t="str">
        <f t="shared" si="99"/>
        <v/>
      </c>
      <c r="Z7" s="2" t="str">
        <f t="shared" si="99"/>
        <v/>
      </c>
      <c r="AA7" s="2" t="str">
        <f t="shared" si="99"/>
        <v/>
      </c>
      <c r="AB7" s="2" t="str">
        <f t="shared" si="99"/>
        <v/>
      </c>
      <c r="AC7" s="2" t="str">
        <f t="shared" si="99"/>
        <v/>
      </c>
      <c r="AD7" s="2" t="str">
        <f t="shared" si="99"/>
        <v/>
      </c>
      <c r="AE7" s="2" t="str">
        <f t="shared" si="99"/>
        <v/>
      </c>
      <c r="AF7" s="2" t="str">
        <f t="shared" si="99"/>
        <v/>
      </c>
      <c r="AG7" s="2" t="str">
        <f t="shared" si="99"/>
        <v/>
      </c>
      <c r="AH7" s="2" t="str">
        <f t="shared" si="99"/>
        <v/>
      </c>
      <c r="AI7" s="2" t="str">
        <f t="shared" si="99"/>
        <v/>
      </c>
      <c r="AJ7" s="2" t="str">
        <f t="shared" si="99"/>
        <v/>
      </c>
      <c r="AK7" s="2" t="str">
        <f t="shared" si="99"/>
        <v/>
      </c>
      <c r="AL7" s="2" t="str">
        <f t="shared" si="99"/>
        <v/>
      </c>
      <c r="AM7" s="2" t="str">
        <f t="shared" si="99"/>
        <v/>
      </c>
      <c r="AN7" s="2" t="str">
        <f t="shared" si="99"/>
        <v/>
      </c>
      <c r="AO7" s="2" t="str">
        <f t="shared" si="99"/>
        <v/>
      </c>
      <c r="AP7" s="2" t="str">
        <f t="shared" si="99"/>
        <v/>
      </c>
      <c r="AQ7" s="2" t="str">
        <f t="shared" si="99"/>
        <v/>
      </c>
      <c r="AR7" s="2" t="str">
        <f t="shared" si="99"/>
        <v/>
      </c>
      <c r="AS7" s="2" t="str">
        <f t="shared" si="99"/>
        <v/>
      </c>
      <c r="AT7" s="2" t="str">
        <f t="shared" si="99"/>
        <v/>
      </c>
      <c r="AU7" s="2" t="str">
        <f t="shared" ref="AU7:AW15" si="100">IF($B7="","",IF(AND($D7&lt;=AU$3,$E7&gt;=AU$3),"a",""))</f>
        <v/>
      </c>
      <c r="AV7" s="2" t="str">
        <f t="shared" si="100"/>
        <v/>
      </c>
      <c r="AW7" s="2" t="str">
        <f t="shared" si="100"/>
        <v/>
      </c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</row>
    <row r="8" spans="1:77" x14ac:dyDescent="0.3">
      <c r="A8" s="15"/>
      <c r="B8" s="15"/>
      <c r="C8" s="15"/>
      <c r="D8" s="4">
        <v>46144</v>
      </c>
      <c r="E8" s="4">
        <v>46145</v>
      </c>
      <c r="F8" s="13"/>
      <c r="G8" s="13"/>
      <c r="H8" s="2" t="str">
        <f>IF($B7="","",IF(AND($D8&lt;=H$3,$E8&gt;=H$3),"ac",""))</f>
        <v/>
      </c>
      <c r="I8" s="2" t="str">
        <f t="shared" ref="I8" si="101">IF($B7="","",IF(AND($D8&lt;=I$3,$E8&gt;=I$3),"ac",""))</f>
        <v/>
      </c>
      <c r="J8" s="2" t="str">
        <f t="shared" ref="J8" si="102">IF($B7="","",IF(AND($D8&lt;=J$3,$E8&gt;=J$3),"ac",""))</f>
        <v/>
      </c>
      <c r="K8" s="2" t="str">
        <f t="shared" ref="K8" si="103">IF($B7="","",IF(AND($D8&lt;=K$3,$E8&gt;=K$3),"ac",""))</f>
        <v/>
      </c>
      <c r="L8" s="2" t="str">
        <f t="shared" ref="L8" si="104">IF($B7="","",IF(AND($D8&lt;=L$3,$E8&gt;=L$3),"ac",""))</f>
        <v/>
      </c>
      <c r="M8" s="2" t="str">
        <f t="shared" ref="M8" si="105">IF($B7="","",IF(AND($D8&lt;=M$3,$E8&gt;=M$3),"ac",""))</f>
        <v>ac</v>
      </c>
      <c r="N8" s="2" t="str">
        <f t="shared" ref="N8" si="106">IF($B7="","",IF(AND($D8&lt;=N$3,$E8&gt;=N$3),"ac",""))</f>
        <v>ac</v>
      </c>
      <c r="O8" s="2" t="str">
        <f t="shared" ref="O8" si="107">IF($B7="","",IF(AND($D8&lt;=O$3,$E8&gt;=O$3),"ac",""))</f>
        <v/>
      </c>
      <c r="P8" s="2" t="str">
        <f t="shared" ref="P8" si="108">IF($B7="","",IF(AND($D8&lt;=P$3,$E8&gt;=P$3),"ac",""))</f>
        <v/>
      </c>
      <c r="Q8" s="2" t="str">
        <f t="shared" ref="Q8" si="109">IF($B7="","",IF(AND($D8&lt;=Q$3,$E8&gt;=Q$3),"ac",""))</f>
        <v/>
      </c>
      <c r="R8" s="2" t="str">
        <f t="shared" ref="R8" si="110">IF($B7="","",IF(AND($D8&lt;=R$3,$E8&gt;=R$3),"ac",""))</f>
        <v/>
      </c>
      <c r="S8" s="2" t="str">
        <f t="shared" ref="S8" si="111">IF($B7="","",IF(AND($D8&lt;=S$3,$E8&gt;=S$3),"ac",""))</f>
        <v/>
      </c>
      <c r="T8" s="2" t="str">
        <f t="shared" ref="T8" si="112">IF($B7="","",IF(AND($D8&lt;=T$3,$E8&gt;=T$3),"ac",""))</f>
        <v/>
      </c>
      <c r="U8" s="2" t="str">
        <f t="shared" ref="U8" si="113">IF($B7="","",IF(AND($D8&lt;=U$3,$E8&gt;=U$3),"ac",""))</f>
        <v/>
      </c>
      <c r="V8" s="2" t="str">
        <f t="shared" ref="V8" si="114">IF($B7="","",IF(AND($D8&lt;=V$3,$E8&gt;=V$3),"ac",""))</f>
        <v/>
      </c>
      <c r="W8" s="2" t="str">
        <f t="shared" ref="W8" si="115">IF($B7="","",IF(AND($D8&lt;=W$3,$E8&gt;=W$3),"ac",""))</f>
        <v/>
      </c>
      <c r="X8" s="2" t="str">
        <f t="shared" ref="X8" si="116">IF($B7="","",IF(AND($D8&lt;=X$3,$E8&gt;=X$3),"ac",""))</f>
        <v/>
      </c>
      <c r="Y8" s="2" t="str">
        <f t="shared" ref="Y8" si="117">IF($B7="","",IF(AND($D8&lt;=Y$3,$E8&gt;=Y$3),"ac",""))</f>
        <v/>
      </c>
      <c r="Z8" s="2" t="str">
        <f t="shared" ref="Z8" si="118">IF($B7="","",IF(AND($D8&lt;=Z$3,$E8&gt;=Z$3),"ac",""))</f>
        <v/>
      </c>
      <c r="AA8" s="2" t="str">
        <f t="shared" ref="AA8" si="119">IF($B7="","",IF(AND($D8&lt;=AA$3,$E8&gt;=AA$3),"ac",""))</f>
        <v/>
      </c>
      <c r="AB8" s="2" t="str">
        <f t="shared" ref="AB8" si="120">IF($B7="","",IF(AND($D8&lt;=AB$3,$E8&gt;=AB$3),"ac",""))</f>
        <v/>
      </c>
      <c r="AC8" s="2" t="str">
        <f t="shared" ref="AC8" si="121">IF($B7="","",IF(AND($D8&lt;=AC$3,$E8&gt;=AC$3),"ac",""))</f>
        <v/>
      </c>
      <c r="AD8" s="2" t="str">
        <f t="shared" ref="AD8" si="122">IF($B7="","",IF(AND($D8&lt;=AD$3,$E8&gt;=AD$3),"ac",""))</f>
        <v/>
      </c>
      <c r="AE8" s="2" t="str">
        <f t="shared" ref="AE8" si="123">IF($B7="","",IF(AND($D8&lt;=AE$3,$E8&gt;=AE$3),"ac",""))</f>
        <v/>
      </c>
      <c r="AF8" s="2" t="str">
        <f t="shared" ref="AF8" si="124">IF($B7="","",IF(AND($D8&lt;=AF$3,$E8&gt;=AF$3),"ac",""))</f>
        <v/>
      </c>
      <c r="AG8" s="2" t="str">
        <f t="shared" ref="AG8" si="125">IF($B7="","",IF(AND($D8&lt;=AG$3,$E8&gt;=AG$3),"ac",""))</f>
        <v/>
      </c>
      <c r="AH8" s="2" t="str">
        <f t="shared" ref="AH8" si="126">IF($B7="","",IF(AND($D8&lt;=AH$3,$E8&gt;=AH$3),"ac",""))</f>
        <v/>
      </c>
      <c r="AI8" s="2" t="str">
        <f t="shared" ref="AI8" si="127">IF($B7="","",IF(AND($D8&lt;=AI$3,$E8&gt;=AI$3),"ac",""))</f>
        <v/>
      </c>
      <c r="AJ8" s="2" t="str">
        <f t="shared" ref="AJ8" si="128">IF($B7="","",IF(AND($D8&lt;=AJ$3,$E8&gt;=AJ$3),"ac",""))</f>
        <v/>
      </c>
      <c r="AK8" s="2" t="str">
        <f t="shared" ref="AK8" si="129">IF($B7="","",IF(AND($D8&lt;=AK$3,$E8&gt;=AK$3),"ac",""))</f>
        <v/>
      </c>
      <c r="AL8" s="2" t="str">
        <f t="shared" ref="AL8" si="130">IF($B7="","",IF(AND($D8&lt;=AL$3,$E8&gt;=AL$3),"ac",""))</f>
        <v/>
      </c>
      <c r="AM8" s="2" t="str">
        <f t="shared" ref="AM8" si="131">IF($B7="","",IF(AND($D8&lt;=AM$3,$E8&gt;=AM$3),"ac",""))</f>
        <v/>
      </c>
      <c r="AN8" s="2" t="str">
        <f t="shared" ref="AN8" si="132">IF($B7="","",IF(AND($D8&lt;=AN$3,$E8&gt;=AN$3),"ac",""))</f>
        <v/>
      </c>
      <c r="AO8" s="2" t="str">
        <f t="shared" ref="AO8" si="133">IF($B7="","",IF(AND($D8&lt;=AO$3,$E8&gt;=AO$3),"ac",""))</f>
        <v/>
      </c>
      <c r="AP8" s="2" t="str">
        <f t="shared" ref="AP8" si="134">IF($B7="","",IF(AND($D8&lt;=AP$3,$E8&gt;=AP$3),"ac",""))</f>
        <v/>
      </c>
      <c r="AQ8" s="2" t="str">
        <f t="shared" ref="AQ8" si="135">IF($B7="","",IF(AND($D8&lt;=AQ$3,$E8&gt;=AQ$3),"ac",""))</f>
        <v/>
      </c>
      <c r="AR8" s="2" t="str">
        <f t="shared" ref="AR8" si="136">IF($B7="","",IF(AND($D8&lt;=AR$3,$E8&gt;=AR$3),"ac",""))</f>
        <v/>
      </c>
      <c r="AS8" s="2" t="str">
        <f t="shared" ref="AS8" si="137">IF($B7="","",IF(AND($D8&lt;=AS$3,$E8&gt;=AS$3),"ac",""))</f>
        <v/>
      </c>
      <c r="AT8" s="2" t="str">
        <f t="shared" ref="AT8:AW8" si="138">IF($B7="","",IF(AND($D8&lt;=AT$3,$E8&gt;=AT$3),"ac",""))</f>
        <v/>
      </c>
      <c r="AU8" s="2" t="str">
        <f t="shared" si="138"/>
        <v/>
      </c>
      <c r="AV8" s="2" t="str">
        <f t="shared" si="138"/>
        <v/>
      </c>
      <c r="AW8" s="2" t="str">
        <f t="shared" si="138"/>
        <v/>
      </c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</row>
    <row r="9" spans="1:77" x14ac:dyDescent="0.3">
      <c r="A9" s="15">
        <v>1.2</v>
      </c>
      <c r="B9" s="15" t="s">
        <v>13</v>
      </c>
      <c r="C9" s="15">
        <f t="shared" si="98"/>
        <v>1</v>
      </c>
      <c r="D9" s="4">
        <v>46145</v>
      </c>
      <c r="E9" s="4">
        <v>46145</v>
      </c>
      <c r="F9" s="13" t="s">
        <v>1</v>
      </c>
      <c r="G9" s="13">
        <v>1.1000000000000001</v>
      </c>
      <c r="H9" s="2" t="str">
        <f>IF($B9="","",IF(AND($D9&lt;=H$3,$E9&gt;=H$3),"a",""))</f>
        <v/>
      </c>
      <c r="I9" s="2" t="str">
        <f t="shared" si="45"/>
        <v/>
      </c>
      <c r="J9" s="2" t="str">
        <f t="shared" si="45"/>
        <v/>
      </c>
      <c r="K9" s="2" t="str">
        <f t="shared" si="45"/>
        <v/>
      </c>
      <c r="L9" s="2" t="str">
        <f t="shared" si="45"/>
        <v/>
      </c>
      <c r="M9" s="2" t="str">
        <f t="shared" si="45"/>
        <v/>
      </c>
      <c r="N9" s="2" t="str">
        <f t="shared" si="45"/>
        <v>a</v>
      </c>
      <c r="O9" s="2" t="str">
        <f t="shared" si="45"/>
        <v/>
      </c>
      <c r="P9" s="2" t="str">
        <f t="shared" si="45"/>
        <v/>
      </c>
      <c r="Q9" s="2" t="str">
        <f t="shared" si="45"/>
        <v/>
      </c>
      <c r="R9" s="2" t="str">
        <f t="shared" si="99"/>
        <v/>
      </c>
      <c r="S9" s="2" t="str">
        <f t="shared" si="99"/>
        <v/>
      </c>
      <c r="T9" s="2" t="str">
        <f t="shared" si="99"/>
        <v/>
      </c>
      <c r="U9" s="2" t="str">
        <f t="shared" si="99"/>
        <v/>
      </c>
      <c r="V9" s="2" t="str">
        <f t="shared" si="99"/>
        <v/>
      </c>
      <c r="W9" s="2" t="str">
        <f t="shared" si="99"/>
        <v/>
      </c>
      <c r="X9" s="2" t="str">
        <f t="shared" si="99"/>
        <v/>
      </c>
      <c r="Y9" s="2" t="str">
        <f t="shared" si="99"/>
        <v/>
      </c>
      <c r="Z9" s="2" t="str">
        <f t="shared" si="99"/>
        <v/>
      </c>
      <c r="AA9" s="2" t="str">
        <f t="shared" si="99"/>
        <v/>
      </c>
      <c r="AB9" s="2" t="str">
        <f t="shared" si="99"/>
        <v/>
      </c>
      <c r="AC9" s="2" t="str">
        <f t="shared" si="99"/>
        <v/>
      </c>
      <c r="AD9" s="2" t="str">
        <f t="shared" si="99"/>
        <v/>
      </c>
      <c r="AE9" s="2" t="str">
        <f t="shared" si="99"/>
        <v/>
      </c>
      <c r="AF9" s="2" t="str">
        <f t="shared" si="99"/>
        <v/>
      </c>
      <c r="AG9" s="2" t="str">
        <f t="shared" si="99"/>
        <v/>
      </c>
      <c r="AH9" s="2" t="str">
        <f t="shared" si="99"/>
        <v/>
      </c>
      <c r="AI9" s="2" t="str">
        <f t="shared" si="99"/>
        <v/>
      </c>
      <c r="AJ9" s="2" t="str">
        <f t="shared" si="99"/>
        <v/>
      </c>
      <c r="AK9" s="2" t="str">
        <f t="shared" si="99"/>
        <v/>
      </c>
      <c r="AL9" s="2" t="str">
        <f t="shared" si="99"/>
        <v/>
      </c>
      <c r="AM9" s="2" t="str">
        <f t="shared" si="99"/>
        <v/>
      </c>
      <c r="AN9" s="2" t="str">
        <f t="shared" si="99"/>
        <v/>
      </c>
      <c r="AO9" s="2" t="str">
        <f t="shared" si="99"/>
        <v/>
      </c>
      <c r="AP9" s="2" t="str">
        <f t="shared" si="99"/>
        <v/>
      </c>
      <c r="AQ9" s="2" t="str">
        <f t="shared" si="99"/>
        <v/>
      </c>
      <c r="AR9" s="2" t="str">
        <f t="shared" si="99"/>
        <v/>
      </c>
      <c r="AS9" s="2" t="str">
        <f t="shared" si="99"/>
        <v/>
      </c>
      <c r="AT9" s="2" t="str">
        <f t="shared" si="99"/>
        <v/>
      </c>
      <c r="AU9" s="2" t="str">
        <f t="shared" si="100"/>
        <v/>
      </c>
      <c r="AV9" s="2" t="str">
        <f t="shared" si="100"/>
        <v/>
      </c>
      <c r="AW9" s="2" t="str">
        <f t="shared" si="100"/>
        <v/>
      </c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</row>
    <row r="10" spans="1:77" x14ac:dyDescent="0.3">
      <c r="A10" s="15"/>
      <c r="B10" s="15"/>
      <c r="C10" s="15"/>
      <c r="D10" s="4">
        <v>46145</v>
      </c>
      <c r="E10" s="4">
        <v>46145</v>
      </c>
      <c r="F10" s="13"/>
      <c r="G10" s="13"/>
      <c r="H10" s="2" t="str">
        <f>IF($B9="","",IF(AND($D10&lt;=H$3,$E10&gt;=H$3),"ac",""))</f>
        <v/>
      </c>
      <c r="I10" s="2" t="str">
        <f t="shared" ref="I10" si="139">IF($B9="","",IF(AND($D10&lt;=I$3,$E10&gt;=I$3),"ac",""))</f>
        <v/>
      </c>
      <c r="J10" s="2" t="str">
        <f t="shared" ref="J10" si="140">IF($B9="","",IF(AND($D10&lt;=J$3,$E10&gt;=J$3),"ac",""))</f>
        <v/>
      </c>
      <c r="K10" s="2" t="str">
        <f t="shared" ref="K10" si="141">IF($B9="","",IF(AND($D10&lt;=K$3,$E10&gt;=K$3),"ac",""))</f>
        <v/>
      </c>
      <c r="L10" s="2" t="str">
        <f t="shared" ref="L10" si="142">IF($B9="","",IF(AND($D10&lt;=L$3,$E10&gt;=L$3),"ac",""))</f>
        <v/>
      </c>
      <c r="M10" s="2" t="str">
        <f t="shared" ref="M10" si="143">IF($B9="","",IF(AND($D10&lt;=M$3,$E10&gt;=M$3),"ac",""))</f>
        <v/>
      </c>
      <c r="N10" s="2" t="str">
        <f t="shared" ref="N10" si="144">IF($B9="","",IF(AND($D10&lt;=N$3,$E10&gt;=N$3),"ac",""))</f>
        <v>ac</v>
      </c>
      <c r="O10" s="2" t="str">
        <f t="shared" ref="O10" si="145">IF($B9="","",IF(AND($D10&lt;=O$3,$E10&gt;=O$3),"ac",""))</f>
        <v/>
      </c>
      <c r="P10" s="2" t="str">
        <f t="shared" ref="P10" si="146">IF($B9="","",IF(AND($D10&lt;=P$3,$E10&gt;=P$3),"ac",""))</f>
        <v/>
      </c>
      <c r="Q10" s="2" t="str">
        <f t="shared" ref="Q10" si="147">IF($B9="","",IF(AND($D10&lt;=Q$3,$E10&gt;=Q$3),"ac",""))</f>
        <v/>
      </c>
      <c r="R10" s="2" t="str">
        <f t="shared" ref="R10" si="148">IF($B9="","",IF(AND($D10&lt;=R$3,$E10&gt;=R$3),"ac",""))</f>
        <v/>
      </c>
      <c r="S10" s="2" t="str">
        <f t="shared" ref="S10" si="149">IF($B9="","",IF(AND($D10&lt;=S$3,$E10&gt;=S$3),"ac",""))</f>
        <v/>
      </c>
      <c r="T10" s="2" t="str">
        <f t="shared" ref="T10" si="150">IF($B9="","",IF(AND($D10&lt;=T$3,$E10&gt;=T$3),"ac",""))</f>
        <v/>
      </c>
      <c r="U10" s="2" t="str">
        <f t="shared" ref="U10" si="151">IF($B9="","",IF(AND($D10&lt;=U$3,$E10&gt;=U$3),"ac",""))</f>
        <v/>
      </c>
      <c r="V10" s="2" t="str">
        <f t="shared" ref="V10" si="152">IF($B9="","",IF(AND($D10&lt;=V$3,$E10&gt;=V$3),"ac",""))</f>
        <v/>
      </c>
      <c r="W10" s="2" t="str">
        <f t="shared" ref="W10" si="153">IF($B9="","",IF(AND($D10&lt;=W$3,$E10&gt;=W$3),"ac",""))</f>
        <v/>
      </c>
      <c r="X10" s="2" t="str">
        <f t="shared" ref="X10" si="154">IF($B9="","",IF(AND($D10&lt;=X$3,$E10&gt;=X$3),"ac",""))</f>
        <v/>
      </c>
      <c r="Y10" s="2" t="str">
        <f t="shared" ref="Y10" si="155">IF($B9="","",IF(AND($D10&lt;=Y$3,$E10&gt;=Y$3),"ac",""))</f>
        <v/>
      </c>
      <c r="Z10" s="2" t="str">
        <f t="shared" ref="Z10" si="156">IF($B9="","",IF(AND($D10&lt;=Z$3,$E10&gt;=Z$3),"ac",""))</f>
        <v/>
      </c>
      <c r="AA10" s="2" t="str">
        <f t="shared" ref="AA10" si="157">IF($B9="","",IF(AND($D10&lt;=AA$3,$E10&gt;=AA$3),"ac",""))</f>
        <v/>
      </c>
      <c r="AB10" s="2" t="str">
        <f t="shared" ref="AB10" si="158">IF($B9="","",IF(AND($D10&lt;=AB$3,$E10&gt;=AB$3),"ac",""))</f>
        <v/>
      </c>
      <c r="AC10" s="2" t="str">
        <f t="shared" ref="AC10" si="159">IF($B9="","",IF(AND($D10&lt;=AC$3,$E10&gt;=AC$3),"ac",""))</f>
        <v/>
      </c>
      <c r="AD10" s="2" t="str">
        <f t="shared" ref="AD10" si="160">IF($B9="","",IF(AND($D10&lt;=AD$3,$E10&gt;=AD$3),"ac",""))</f>
        <v/>
      </c>
      <c r="AE10" s="2" t="str">
        <f t="shared" ref="AE10" si="161">IF($B9="","",IF(AND($D10&lt;=AE$3,$E10&gt;=AE$3),"ac",""))</f>
        <v/>
      </c>
      <c r="AF10" s="2" t="str">
        <f t="shared" ref="AF10" si="162">IF($B9="","",IF(AND($D10&lt;=AF$3,$E10&gt;=AF$3),"ac",""))</f>
        <v/>
      </c>
      <c r="AG10" s="2" t="str">
        <f t="shared" ref="AG10" si="163">IF($B9="","",IF(AND($D10&lt;=AG$3,$E10&gt;=AG$3),"ac",""))</f>
        <v/>
      </c>
      <c r="AH10" s="2" t="str">
        <f t="shared" ref="AH10" si="164">IF($B9="","",IF(AND($D10&lt;=AH$3,$E10&gt;=AH$3),"ac",""))</f>
        <v/>
      </c>
      <c r="AI10" s="2" t="str">
        <f t="shared" ref="AI10" si="165">IF($B9="","",IF(AND($D10&lt;=AI$3,$E10&gt;=AI$3),"ac",""))</f>
        <v/>
      </c>
      <c r="AJ10" s="2" t="str">
        <f t="shared" ref="AJ10" si="166">IF($B9="","",IF(AND($D10&lt;=AJ$3,$E10&gt;=AJ$3),"ac",""))</f>
        <v/>
      </c>
      <c r="AK10" s="2" t="str">
        <f t="shared" ref="AK10" si="167">IF($B9="","",IF(AND($D10&lt;=AK$3,$E10&gt;=AK$3),"ac",""))</f>
        <v/>
      </c>
      <c r="AL10" s="2" t="str">
        <f t="shared" ref="AL10" si="168">IF($B9="","",IF(AND($D10&lt;=AL$3,$E10&gt;=AL$3),"ac",""))</f>
        <v/>
      </c>
      <c r="AM10" s="2" t="str">
        <f t="shared" ref="AM10" si="169">IF($B9="","",IF(AND($D10&lt;=AM$3,$E10&gt;=AM$3),"ac",""))</f>
        <v/>
      </c>
      <c r="AN10" s="2" t="str">
        <f t="shared" ref="AN10" si="170">IF($B9="","",IF(AND($D10&lt;=AN$3,$E10&gt;=AN$3),"ac",""))</f>
        <v/>
      </c>
      <c r="AO10" s="2" t="str">
        <f t="shared" ref="AO10" si="171">IF($B9="","",IF(AND($D10&lt;=AO$3,$E10&gt;=AO$3),"ac",""))</f>
        <v/>
      </c>
      <c r="AP10" s="2" t="str">
        <f t="shared" ref="AP10" si="172">IF($B9="","",IF(AND($D10&lt;=AP$3,$E10&gt;=AP$3),"ac",""))</f>
        <v/>
      </c>
      <c r="AQ10" s="2" t="str">
        <f t="shared" ref="AQ10" si="173">IF($B9="","",IF(AND($D10&lt;=AQ$3,$E10&gt;=AQ$3),"ac",""))</f>
        <v/>
      </c>
      <c r="AR10" s="2" t="str">
        <f t="shared" ref="AR10" si="174">IF($B9="","",IF(AND($D10&lt;=AR$3,$E10&gt;=AR$3),"ac",""))</f>
        <v/>
      </c>
      <c r="AS10" s="2" t="str">
        <f t="shared" ref="AS10" si="175">IF($B9="","",IF(AND($D10&lt;=AS$3,$E10&gt;=AS$3),"ac",""))</f>
        <v/>
      </c>
      <c r="AT10" s="2" t="str">
        <f t="shared" ref="AT10:AW10" si="176">IF($B9="","",IF(AND($D10&lt;=AT$3,$E10&gt;=AT$3),"ac",""))</f>
        <v/>
      </c>
      <c r="AU10" s="2" t="str">
        <f t="shared" si="176"/>
        <v/>
      </c>
      <c r="AV10" s="2" t="str">
        <f t="shared" si="176"/>
        <v/>
      </c>
      <c r="AW10" s="2" t="str">
        <f t="shared" si="176"/>
        <v/>
      </c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</row>
    <row r="11" spans="1:77" x14ac:dyDescent="0.3">
      <c r="A11" s="15">
        <v>1.3</v>
      </c>
      <c r="B11" s="15" t="s">
        <v>14</v>
      </c>
      <c r="C11" s="15">
        <f t="shared" si="98"/>
        <v>2</v>
      </c>
      <c r="D11" s="4">
        <v>46146</v>
      </c>
      <c r="E11" s="4">
        <v>46147</v>
      </c>
      <c r="F11" s="13" t="s">
        <v>1</v>
      </c>
      <c r="G11" s="13">
        <v>1.2</v>
      </c>
      <c r="H11" s="2" t="str">
        <f>IF($B11="","",IF(AND($D11&lt;=H$3,$E11&gt;=H$3),"a",""))</f>
        <v/>
      </c>
      <c r="I11" s="2" t="str">
        <f t="shared" si="45"/>
        <v/>
      </c>
      <c r="J11" s="2" t="str">
        <f t="shared" si="45"/>
        <v/>
      </c>
      <c r="K11" s="2" t="str">
        <f t="shared" si="45"/>
        <v/>
      </c>
      <c r="L11" s="2" t="str">
        <f t="shared" si="45"/>
        <v/>
      </c>
      <c r="M11" s="2" t="str">
        <f t="shared" si="45"/>
        <v/>
      </c>
      <c r="N11" s="2" t="str">
        <f t="shared" si="45"/>
        <v/>
      </c>
      <c r="O11" s="2" t="str">
        <f t="shared" si="45"/>
        <v>a</v>
      </c>
      <c r="P11" s="2" t="str">
        <f t="shared" si="45"/>
        <v>a</v>
      </c>
      <c r="Q11" s="2" t="str">
        <f t="shared" si="45"/>
        <v/>
      </c>
      <c r="R11" s="2" t="str">
        <f t="shared" si="99"/>
        <v/>
      </c>
      <c r="S11" s="2" t="str">
        <f t="shared" si="99"/>
        <v/>
      </c>
      <c r="T11" s="2" t="str">
        <f t="shared" si="99"/>
        <v/>
      </c>
      <c r="U11" s="2" t="str">
        <f t="shared" si="99"/>
        <v/>
      </c>
      <c r="V11" s="2" t="str">
        <f t="shared" si="99"/>
        <v/>
      </c>
      <c r="W11" s="2" t="str">
        <f t="shared" si="99"/>
        <v/>
      </c>
      <c r="X11" s="2" t="str">
        <f t="shared" si="99"/>
        <v/>
      </c>
      <c r="Y11" s="2" t="str">
        <f t="shared" si="99"/>
        <v/>
      </c>
      <c r="Z11" s="2" t="str">
        <f t="shared" si="99"/>
        <v/>
      </c>
      <c r="AA11" s="2" t="str">
        <f t="shared" si="99"/>
        <v/>
      </c>
      <c r="AB11" s="2" t="str">
        <f t="shared" si="99"/>
        <v/>
      </c>
      <c r="AC11" s="2" t="str">
        <f t="shared" si="99"/>
        <v/>
      </c>
      <c r="AD11" s="2" t="str">
        <f t="shared" si="99"/>
        <v/>
      </c>
      <c r="AE11" s="2" t="str">
        <f t="shared" si="99"/>
        <v/>
      </c>
      <c r="AF11" s="2" t="str">
        <f t="shared" si="99"/>
        <v/>
      </c>
      <c r="AG11" s="2" t="str">
        <f t="shared" si="99"/>
        <v/>
      </c>
      <c r="AH11" s="2" t="str">
        <f t="shared" si="99"/>
        <v/>
      </c>
      <c r="AI11" s="2" t="str">
        <f t="shared" si="99"/>
        <v/>
      </c>
      <c r="AJ11" s="2" t="str">
        <f t="shared" si="99"/>
        <v/>
      </c>
      <c r="AK11" s="2" t="str">
        <f t="shared" si="99"/>
        <v/>
      </c>
      <c r="AL11" s="2" t="str">
        <f t="shared" si="99"/>
        <v/>
      </c>
      <c r="AM11" s="2" t="str">
        <f t="shared" si="99"/>
        <v/>
      </c>
      <c r="AN11" s="2" t="str">
        <f t="shared" si="99"/>
        <v/>
      </c>
      <c r="AO11" s="2" t="str">
        <f t="shared" si="99"/>
        <v/>
      </c>
      <c r="AP11" s="2" t="str">
        <f t="shared" si="99"/>
        <v/>
      </c>
      <c r="AQ11" s="2" t="str">
        <f t="shared" si="99"/>
        <v/>
      </c>
      <c r="AR11" s="2" t="str">
        <f t="shared" si="99"/>
        <v/>
      </c>
      <c r="AS11" s="2" t="str">
        <f t="shared" si="99"/>
        <v/>
      </c>
      <c r="AT11" s="2" t="str">
        <f t="shared" si="99"/>
        <v/>
      </c>
      <c r="AU11" s="2" t="str">
        <f t="shared" si="100"/>
        <v/>
      </c>
      <c r="AV11" s="2" t="str">
        <f t="shared" si="100"/>
        <v/>
      </c>
      <c r="AW11" s="2" t="str">
        <f t="shared" si="100"/>
        <v/>
      </c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</row>
    <row r="12" spans="1:77" x14ac:dyDescent="0.3">
      <c r="A12" s="15"/>
      <c r="B12" s="15"/>
      <c r="C12" s="15"/>
      <c r="D12" s="4">
        <v>46146</v>
      </c>
      <c r="E12" s="4">
        <v>46147</v>
      </c>
      <c r="F12" s="13"/>
      <c r="G12" s="13"/>
      <c r="H12" s="2" t="str">
        <f>IF($B11="","",IF(AND($D12&lt;=H$3,$E12&gt;=H$3),"ac",""))</f>
        <v/>
      </c>
      <c r="I12" s="2" t="str">
        <f t="shared" ref="I12" si="177">IF($B11="","",IF(AND($D12&lt;=I$3,$E12&gt;=I$3),"ac",""))</f>
        <v/>
      </c>
      <c r="J12" s="2" t="str">
        <f t="shared" ref="J12" si="178">IF($B11="","",IF(AND($D12&lt;=J$3,$E12&gt;=J$3),"ac",""))</f>
        <v/>
      </c>
      <c r="K12" s="2" t="str">
        <f t="shared" ref="K12" si="179">IF($B11="","",IF(AND($D12&lt;=K$3,$E12&gt;=K$3),"ac",""))</f>
        <v/>
      </c>
      <c r="L12" s="2" t="str">
        <f t="shared" ref="L12" si="180">IF($B11="","",IF(AND($D12&lt;=L$3,$E12&gt;=L$3),"ac",""))</f>
        <v/>
      </c>
      <c r="M12" s="2" t="str">
        <f t="shared" ref="M12" si="181">IF($B11="","",IF(AND($D12&lt;=M$3,$E12&gt;=M$3),"ac",""))</f>
        <v/>
      </c>
      <c r="N12" s="2" t="str">
        <f t="shared" ref="N12" si="182">IF($B11="","",IF(AND($D12&lt;=N$3,$E12&gt;=N$3),"ac",""))</f>
        <v/>
      </c>
      <c r="O12" s="2" t="str">
        <f t="shared" ref="O12" si="183">IF($B11="","",IF(AND($D12&lt;=O$3,$E12&gt;=O$3),"ac",""))</f>
        <v>ac</v>
      </c>
      <c r="P12" s="2" t="str">
        <f t="shared" ref="P12" si="184">IF($B11="","",IF(AND($D12&lt;=P$3,$E12&gt;=P$3),"ac",""))</f>
        <v>ac</v>
      </c>
      <c r="Q12" s="2" t="str">
        <f t="shared" ref="Q12" si="185">IF($B11="","",IF(AND($D12&lt;=Q$3,$E12&gt;=Q$3),"ac",""))</f>
        <v/>
      </c>
      <c r="R12" s="2" t="str">
        <f t="shared" ref="R12" si="186">IF($B11="","",IF(AND($D12&lt;=R$3,$E12&gt;=R$3),"ac",""))</f>
        <v/>
      </c>
      <c r="S12" s="2" t="str">
        <f t="shared" ref="S12" si="187">IF($B11="","",IF(AND($D12&lt;=S$3,$E12&gt;=S$3),"ac",""))</f>
        <v/>
      </c>
      <c r="T12" s="2" t="str">
        <f t="shared" ref="T12" si="188">IF($B11="","",IF(AND($D12&lt;=T$3,$E12&gt;=T$3),"ac",""))</f>
        <v/>
      </c>
      <c r="U12" s="2" t="str">
        <f t="shared" ref="U12" si="189">IF($B11="","",IF(AND($D12&lt;=U$3,$E12&gt;=U$3),"ac",""))</f>
        <v/>
      </c>
      <c r="V12" s="2" t="str">
        <f t="shared" ref="V12" si="190">IF($B11="","",IF(AND($D12&lt;=V$3,$E12&gt;=V$3),"ac",""))</f>
        <v/>
      </c>
      <c r="W12" s="2" t="str">
        <f t="shared" ref="W12" si="191">IF($B11="","",IF(AND($D12&lt;=W$3,$E12&gt;=W$3),"ac",""))</f>
        <v/>
      </c>
      <c r="X12" s="2" t="str">
        <f t="shared" ref="X12" si="192">IF($B11="","",IF(AND($D12&lt;=X$3,$E12&gt;=X$3),"ac",""))</f>
        <v/>
      </c>
      <c r="Y12" s="2" t="str">
        <f t="shared" ref="Y12" si="193">IF($B11="","",IF(AND($D12&lt;=Y$3,$E12&gt;=Y$3),"ac",""))</f>
        <v/>
      </c>
      <c r="Z12" s="2" t="str">
        <f t="shared" ref="Z12" si="194">IF($B11="","",IF(AND($D12&lt;=Z$3,$E12&gt;=Z$3),"ac",""))</f>
        <v/>
      </c>
      <c r="AA12" s="2" t="str">
        <f t="shared" ref="AA12" si="195">IF($B11="","",IF(AND($D12&lt;=AA$3,$E12&gt;=AA$3),"ac",""))</f>
        <v/>
      </c>
      <c r="AB12" s="2" t="str">
        <f t="shared" ref="AB12" si="196">IF($B11="","",IF(AND($D12&lt;=AB$3,$E12&gt;=AB$3),"ac",""))</f>
        <v/>
      </c>
      <c r="AC12" s="2" t="str">
        <f t="shared" ref="AC12" si="197">IF($B11="","",IF(AND($D12&lt;=AC$3,$E12&gt;=AC$3),"ac",""))</f>
        <v/>
      </c>
      <c r="AD12" s="2" t="str">
        <f t="shared" ref="AD12" si="198">IF($B11="","",IF(AND($D12&lt;=AD$3,$E12&gt;=AD$3),"ac",""))</f>
        <v/>
      </c>
      <c r="AE12" s="2" t="str">
        <f t="shared" ref="AE12" si="199">IF($B11="","",IF(AND($D12&lt;=AE$3,$E12&gt;=AE$3),"ac",""))</f>
        <v/>
      </c>
      <c r="AF12" s="2" t="str">
        <f t="shared" ref="AF12" si="200">IF($B11="","",IF(AND($D12&lt;=AF$3,$E12&gt;=AF$3),"ac",""))</f>
        <v/>
      </c>
      <c r="AG12" s="2" t="str">
        <f t="shared" ref="AG12" si="201">IF($B11="","",IF(AND($D12&lt;=AG$3,$E12&gt;=AG$3),"ac",""))</f>
        <v/>
      </c>
      <c r="AH12" s="2" t="str">
        <f t="shared" ref="AH12" si="202">IF($B11="","",IF(AND($D12&lt;=AH$3,$E12&gt;=AH$3),"ac",""))</f>
        <v/>
      </c>
      <c r="AI12" s="2" t="str">
        <f t="shared" ref="AI12" si="203">IF($B11="","",IF(AND($D12&lt;=AI$3,$E12&gt;=AI$3),"ac",""))</f>
        <v/>
      </c>
      <c r="AJ12" s="2" t="str">
        <f t="shared" ref="AJ12" si="204">IF($B11="","",IF(AND($D12&lt;=AJ$3,$E12&gt;=AJ$3),"ac",""))</f>
        <v/>
      </c>
      <c r="AK12" s="2" t="str">
        <f t="shared" ref="AK12" si="205">IF($B11="","",IF(AND($D12&lt;=AK$3,$E12&gt;=AK$3),"ac",""))</f>
        <v/>
      </c>
      <c r="AL12" s="2" t="str">
        <f t="shared" ref="AL12" si="206">IF($B11="","",IF(AND($D12&lt;=AL$3,$E12&gt;=AL$3),"ac",""))</f>
        <v/>
      </c>
      <c r="AM12" s="2" t="str">
        <f t="shared" ref="AM12" si="207">IF($B11="","",IF(AND($D12&lt;=AM$3,$E12&gt;=AM$3),"ac",""))</f>
        <v/>
      </c>
      <c r="AN12" s="2" t="str">
        <f t="shared" ref="AN12" si="208">IF($B11="","",IF(AND($D12&lt;=AN$3,$E12&gt;=AN$3),"ac",""))</f>
        <v/>
      </c>
      <c r="AO12" s="2" t="str">
        <f t="shared" ref="AO12" si="209">IF($B11="","",IF(AND($D12&lt;=AO$3,$E12&gt;=AO$3),"ac",""))</f>
        <v/>
      </c>
      <c r="AP12" s="2" t="str">
        <f t="shared" ref="AP12" si="210">IF($B11="","",IF(AND($D12&lt;=AP$3,$E12&gt;=AP$3),"ac",""))</f>
        <v/>
      </c>
      <c r="AQ12" s="2" t="str">
        <f t="shared" ref="AQ12" si="211">IF($B11="","",IF(AND($D12&lt;=AQ$3,$E12&gt;=AQ$3),"ac",""))</f>
        <v/>
      </c>
      <c r="AR12" s="2" t="str">
        <f t="shared" ref="AR12" si="212">IF($B11="","",IF(AND($D12&lt;=AR$3,$E12&gt;=AR$3),"ac",""))</f>
        <v/>
      </c>
      <c r="AS12" s="2" t="str">
        <f t="shared" ref="AS12" si="213">IF($B11="","",IF(AND($D12&lt;=AS$3,$E12&gt;=AS$3),"ac",""))</f>
        <v/>
      </c>
      <c r="AT12" s="2" t="str">
        <f t="shared" ref="AT12:AW12" si="214">IF($B11="","",IF(AND($D12&lt;=AT$3,$E12&gt;=AT$3),"ac",""))</f>
        <v/>
      </c>
      <c r="AU12" s="2" t="str">
        <f t="shared" si="214"/>
        <v/>
      </c>
      <c r="AV12" s="2" t="str">
        <f t="shared" si="214"/>
        <v/>
      </c>
      <c r="AW12" s="2" t="str">
        <f t="shared" si="214"/>
        <v/>
      </c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</row>
    <row r="13" spans="1:77" ht="20.25" x14ac:dyDescent="0.3">
      <c r="A13" s="17">
        <v>2</v>
      </c>
      <c r="B13" s="18" t="s">
        <v>15</v>
      </c>
      <c r="C13" s="17">
        <f t="shared" si="98"/>
        <v>9</v>
      </c>
      <c r="D13" s="19">
        <v>46148</v>
      </c>
      <c r="E13" s="19">
        <v>46156</v>
      </c>
      <c r="F13" s="17" t="s">
        <v>41</v>
      </c>
      <c r="G13" s="17">
        <v>1</v>
      </c>
      <c r="H13" s="2" t="str">
        <f>IF($B13="","",IF(AND($D13&lt;=H$3,$E13&gt;=H$3),"a",""))</f>
        <v/>
      </c>
      <c r="I13" s="2" t="str">
        <f t="shared" si="45"/>
        <v/>
      </c>
      <c r="J13" s="2" t="str">
        <f t="shared" si="45"/>
        <v/>
      </c>
      <c r="K13" s="2" t="str">
        <f t="shared" si="45"/>
        <v/>
      </c>
      <c r="L13" s="2" t="str">
        <f t="shared" si="45"/>
        <v/>
      </c>
      <c r="M13" s="2" t="str">
        <f t="shared" si="45"/>
        <v/>
      </c>
      <c r="N13" s="2" t="str">
        <f t="shared" si="45"/>
        <v/>
      </c>
      <c r="O13" s="2" t="str">
        <f t="shared" si="45"/>
        <v/>
      </c>
      <c r="P13" s="2" t="str">
        <f t="shared" si="45"/>
        <v/>
      </c>
      <c r="Q13" s="2" t="str">
        <f t="shared" si="45"/>
        <v>a</v>
      </c>
      <c r="R13" s="2" t="str">
        <f t="shared" ref="R13:BY13" si="215">IF($B13="","",IF(AND($D13&lt;=R$3,$E13&gt;=R$3),"a",""))</f>
        <v>a</v>
      </c>
      <c r="S13" s="2" t="str">
        <f t="shared" si="215"/>
        <v>a</v>
      </c>
      <c r="T13" s="2" t="str">
        <f t="shared" si="215"/>
        <v>a</v>
      </c>
      <c r="U13" s="2" t="str">
        <f t="shared" si="215"/>
        <v>a</v>
      </c>
      <c r="V13" s="2" t="str">
        <f t="shared" si="215"/>
        <v>a</v>
      </c>
      <c r="W13" s="2" t="str">
        <f t="shared" si="215"/>
        <v>a</v>
      </c>
      <c r="X13" s="2" t="str">
        <f t="shared" si="215"/>
        <v>a</v>
      </c>
      <c r="Y13" s="2" t="str">
        <f t="shared" si="215"/>
        <v>a</v>
      </c>
      <c r="Z13" s="2" t="str">
        <f t="shared" si="215"/>
        <v/>
      </c>
      <c r="AA13" s="2" t="str">
        <f t="shared" si="215"/>
        <v/>
      </c>
      <c r="AB13" s="2" t="str">
        <f t="shared" si="215"/>
        <v/>
      </c>
      <c r="AC13" s="2" t="str">
        <f t="shared" si="215"/>
        <v/>
      </c>
      <c r="AD13" s="2" t="str">
        <f t="shared" si="215"/>
        <v/>
      </c>
      <c r="AE13" s="2" t="str">
        <f t="shared" si="215"/>
        <v/>
      </c>
      <c r="AF13" s="2" t="str">
        <f t="shared" si="215"/>
        <v/>
      </c>
      <c r="AG13" s="2" t="str">
        <f t="shared" si="215"/>
        <v/>
      </c>
      <c r="AH13" s="2" t="str">
        <f t="shared" si="215"/>
        <v/>
      </c>
      <c r="AI13" s="2" t="str">
        <f t="shared" si="215"/>
        <v/>
      </c>
      <c r="AJ13" s="2" t="str">
        <f t="shared" si="215"/>
        <v/>
      </c>
      <c r="AK13" s="2" t="str">
        <f t="shared" si="215"/>
        <v/>
      </c>
      <c r="AL13" s="2" t="str">
        <f t="shared" si="215"/>
        <v/>
      </c>
      <c r="AM13" s="2" t="str">
        <f t="shared" si="215"/>
        <v/>
      </c>
      <c r="AN13" s="2" t="str">
        <f t="shared" si="215"/>
        <v/>
      </c>
      <c r="AO13" s="2" t="str">
        <f t="shared" si="215"/>
        <v/>
      </c>
      <c r="AP13" s="2" t="str">
        <f t="shared" si="215"/>
        <v/>
      </c>
      <c r="AQ13" s="2" t="str">
        <f t="shared" si="215"/>
        <v/>
      </c>
      <c r="AR13" s="2" t="str">
        <f t="shared" si="215"/>
        <v/>
      </c>
      <c r="AS13" s="2" t="str">
        <f t="shared" si="215"/>
        <v/>
      </c>
      <c r="AT13" s="2" t="str">
        <f t="shared" si="215"/>
        <v/>
      </c>
      <c r="AU13" s="2" t="str">
        <f t="shared" si="215"/>
        <v/>
      </c>
      <c r="AV13" s="2" t="str">
        <f t="shared" si="215"/>
        <v/>
      </c>
      <c r="AW13" s="2" t="str">
        <f t="shared" si="215"/>
        <v/>
      </c>
      <c r="AX13" s="2" t="str">
        <f t="shared" si="215"/>
        <v/>
      </c>
      <c r="AY13" s="2" t="str">
        <f t="shared" si="215"/>
        <v/>
      </c>
      <c r="AZ13" s="2" t="str">
        <f t="shared" si="215"/>
        <v/>
      </c>
      <c r="BA13" s="2" t="str">
        <f t="shared" si="215"/>
        <v/>
      </c>
      <c r="BB13" s="2" t="str">
        <f t="shared" si="215"/>
        <v/>
      </c>
      <c r="BC13" s="2" t="str">
        <f t="shared" si="215"/>
        <v/>
      </c>
      <c r="BD13" s="2" t="str">
        <f t="shared" si="215"/>
        <v/>
      </c>
      <c r="BE13" s="2" t="str">
        <f t="shared" si="215"/>
        <v/>
      </c>
      <c r="BF13" s="2" t="str">
        <f t="shared" si="215"/>
        <v/>
      </c>
      <c r="BG13" s="2" t="str">
        <f t="shared" si="215"/>
        <v/>
      </c>
      <c r="BH13" s="2" t="str">
        <f t="shared" si="215"/>
        <v/>
      </c>
      <c r="BI13" s="2" t="str">
        <f t="shared" si="215"/>
        <v/>
      </c>
      <c r="BJ13" s="2" t="str">
        <f t="shared" si="215"/>
        <v/>
      </c>
      <c r="BK13" s="2" t="str">
        <f t="shared" si="215"/>
        <v/>
      </c>
      <c r="BL13" s="2" t="str">
        <f t="shared" si="215"/>
        <v/>
      </c>
      <c r="BM13" s="2" t="str">
        <f t="shared" si="215"/>
        <v/>
      </c>
      <c r="BN13" s="2" t="str">
        <f t="shared" si="215"/>
        <v/>
      </c>
      <c r="BO13" s="2" t="str">
        <f t="shared" si="215"/>
        <v/>
      </c>
      <c r="BP13" s="2" t="str">
        <f t="shared" si="215"/>
        <v/>
      </c>
      <c r="BQ13" s="2" t="str">
        <f t="shared" si="215"/>
        <v/>
      </c>
      <c r="BR13" s="2" t="str">
        <f t="shared" si="215"/>
        <v/>
      </c>
      <c r="BS13" s="2" t="str">
        <f t="shared" si="215"/>
        <v/>
      </c>
      <c r="BT13" s="2" t="str">
        <f t="shared" si="215"/>
        <v/>
      </c>
      <c r="BU13" s="2" t="str">
        <f t="shared" si="215"/>
        <v/>
      </c>
      <c r="BV13" s="2" t="str">
        <f t="shared" si="215"/>
        <v/>
      </c>
      <c r="BW13" s="2" t="str">
        <f t="shared" si="215"/>
        <v/>
      </c>
      <c r="BX13" s="2" t="str">
        <f t="shared" si="215"/>
        <v/>
      </c>
      <c r="BY13" s="2" t="str">
        <f t="shared" si="215"/>
        <v/>
      </c>
    </row>
    <row r="14" spans="1:77" ht="20.25" x14ac:dyDescent="0.3">
      <c r="A14" s="17"/>
      <c r="B14" s="18"/>
      <c r="C14" s="17"/>
      <c r="D14" s="19">
        <v>46148</v>
      </c>
      <c r="E14" s="19">
        <v>46156</v>
      </c>
      <c r="F14" s="17"/>
      <c r="G14" s="17"/>
      <c r="H14" s="2" t="str">
        <f>IF($B13="","",IF(AND($D14&lt;=H$3,$E14&gt;=H$3),"ac",""))</f>
        <v/>
      </c>
      <c r="I14" s="2" t="str">
        <f t="shared" ref="I14" si="216">IF($B13="","",IF(AND($D14&lt;=I$3,$E14&gt;=I$3),"ac",""))</f>
        <v/>
      </c>
      <c r="J14" s="2" t="str">
        <f t="shared" ref="J14" si="217">IF($B13="","",IF(AND($D14&lt;=J$3,$E14&gt;=J$3),"ac",""))</f>
        <v/>
      </c>
      <c r="K14" s="2" t="str">
        <f t="shared" ref="K14" si="218">IF($B13="","",IF(AND($D14&lt;=K$3,$E14&gt;=K$3),"ac",""))</f>
        <v/>
      </c>
      <c r="L14" s="2" t="str">
        <f t="shared" ref="L14" si="219">IF($B13="","",IF(AND($D14&lt;=L$3,$E14&gt;=L$3),"ac",""))</f>
        <v/>
      </c>
      <c r="M14" s="2" t="str">
        <f t="shared" ref="M14" si="220">IF($B13="","",IF(AND($D14&lt;=M$3,$E14&gt;=M$3),"ac",""))</f>
        <v/>
      </c>
      <c r="N14" s="2" t="str">
        <f t="shared" ref="N14" si="221">IF($B13="","",IF(AND($D14&lt;=N$3,$E14&gt;=N$3),"ac",""))</f>
        <v/>
      </c>
      <c r="O14" s="2" t="str">
        <f t="shared" ref="O14" si="222">IF($B13="","",IF(AND($D14&lt;=O$3,$E14&gt;=O$3),"ac",""))</f>
        <v/>
      </c>
      <c r="P14" s="2" t="str">
        <f t="shared" ref="P14" si="223">IF($B13="","",IF(AND($D14&lt;=P$3,$E14&gt;=P$3),"ac",""))</f>
        <v/>
      </c>
      <c r="Q14" s="2" t="str">
        <f t="shared" ref="Q14" si="224">IF($B13="","",IF(AND($D14&lt;=Q$3,$E14&gt;=Q$3),"ac",""))</f>
        <v>ac</v>
      </c>
      <c r="R14" s="2" t="str">
        <f t="shared" ref="R14" si="225">IF($B13="","",IF(AND($D14&lt;=R$3,$E14&gt;=R$3),"ac",""))</f>
        <v>ac</v>
      </c>
      <c r="S14" s="2" t="str">
        <f t="shared" ref="S14" si="226">IF($B13="","",IF(AND($D14&lt;=S$3,$E14&gt;=S$3),"ac",""))</f>
        <v>ac</v>
      </c>
      <c r="T14" s="2" t="str">
        <f t="shared" ref="T14" si="227">IF($B13="","",IF(AND($D14&lt;=T$3,$E14&gt;=T$3),"ac",""))</f>
        <v>ac</v>
      </c>
      <c r="U14" s="2" t="str">
        <f t="shared" ref="U14" si="228">IF($B13="","",IF(AND($D14&lt;=U$3,$E14&gt;=U$3),"ac",""))</f>
        <v>ac</v>
      </c>
      <c r="V14" s="2" t="str">
        <f t="shared" ref="V14" si="229">IF($B13="","",IF(AND($D14&lt;=V$3,$E14&gt;=V$3),"ac",""))</f>
        <v>ac</v>
      </c>
      <c r="W14" s="2" t="str">
        <f t="shared" ref="W14" si="230">IF($B13="","",IF(AND($D14&lt;=W$3,$E14&gt;=W$3),"ac",""))</f>
        <v>ac</v>
      </c>
      <c r="X14" s="2" t="str">
        <f t="shared" ref="X14" si="231">IF($B13="","",IF(AND($D14&lt;=X$3,$E14&gt;=X$3),"ac",""))</f>
        <v>ac</v>
      </c>
      <c r="Y14" s="2" t="str">
        <f t="shared" ref="Y14" si="232">IF($B13="","",IF(AND($D14&lt;=Y$3,$E14&gt;=Y$3),"ac",""))</f>
        <v>ac</v>
      </c>
      <c r="Z14" s="2" t="str">
        <f t="shared" ref="Z14" si="233">IF($B13="","",IF(AND($D14&lt;=Z$3,$E14&gt;=Z$3),"ac",""))</f>
        <v/>
      </c>
      <c r="AA14" s="2" t="str">
        <f t="shared" ref="AA14" si="234">IF($B13="","",IF(AND($D14&lt;=AA$3,$E14&gt;=AA$3),"ac",""))</f>
        <v/>
      </c>
      <c r="AB14" s="2" t="str">
        <f t="shared" ref="AB14" si="235">IF($B13="","",IF(AND($D14&lt;=AB$3,$E14&gt;=AB$3),"ac",""))</f>
        <v/>
      </c>
      <c r="AC14" s="2" t="str">
        <f t="shared" ref="AC14" si="236">IF($B13="","",IF(AND($D14&lt;=AC$3,$E14&gt;=AC$3),"ac",""))</f>
        <v/>
      </c>
      <c r="AD14" s="2" t="str">
        <f t="shared" ref="AD14" si="237">IF($B13="","",IF(AND($D14&lt;=AD$3,$E14&gt;=AD$3),"ac",""))</f>
        <v/>
      </c>
      <c r="AE14" s="2" t="str">
        <f t="shared" ref="AE14" si="238">IF($B13="","",IF(AND($D14&lt;=AE$3,$E14&gt;=AE$3),"ac",""))</f>
        <v/>
      </c>
      <c r="AF14" s="2" t="str">
        <f t="shared" ref="AF14" si="239">IF($B13="","",IF(AND($D14&lt;=AF$3,$E14&gt;=AF$3),"ac",""))</f>
        <v/>
      </c>
      <c r="AG14" s="2" t="str">
        <f t="shared" ref="AG14" si="240">IF($B13="","",IF(AND($D14&lt;=AG$3,$E14&gt;=AG$3),"ac",""))</f>
        <v/>
      </c>
      <c r="AH14" s="2" t="str">
        <f t="shared" ref="AH14" si="241">IF($B13="","",IF(AND($D14&lt;=AH$3,$E14&gt;=AH$3),"ac",""))</f>
        <v/>
      </c>
      <c r="AI14" s="2" t="str">
        <f t="shared" ref="AI14" si="242">IF($B13="","",IF(AND($D14&lt;=AI$3,$E14&gt;=AI$3),"ac",""))</f>
        <v/>
      </c>
      <c r="AJ14" s="2" t="str">
        <f t="shared" ref="AJ14" si="243">IF($B13="","",IF(AND($D14&lt;=AJ$3,$E14&gt;=AJ$3),"ac",""))</f>
        <v/>
      </c>
      <c r="AK14" s="2" t="str">
        <f t="shared" ref="AK14" si="244">IF($B13="","",IF(AND($D14&lt;=AK$3,$E14&gt;=AK$3),"ac",""))</f>
        <v/>
      </c>
      <c r="AL14" s="2" t="str">
        <f t="shared" ref="AL14" si="245">IF($B13="","",IF(AND($D14&lt;=AL$3,$E14&gt;=AL$3),"ac",""))</f>
        <v/>
      </c>
      <c r="AM14" s="2" t="str">
        <f t="shared" ref="AM14" si="246">IF($B13="","",IF(AND($D14&lt;=AM$3,$E14&gt;=AM$3),"ac",""))</f>
        <v/>
      </c>
      <c r="AN14" s="2" t="str">
        <f t="shared" ref="AN14" si="247">IF($B13="","",IF(AND($D14&lt;=AN$3,$E14&gt;=AN$3),"ac",""))</f>
        <v/>
      </c>
      <c r="AO14" s="2" t="str">
        <f t="shared" ref="AO14" si="248">IF($B13="","",IF(AND($D14&lt;=AO$3,$E14&gt;=AO$3),"ac",""))</f>
        <v/>
      </c>
      <c r="AP14" s="2" t="str">
        <f t="shared" ref="AP14" si="249">IF($B13="","",IF(AND($D14&lt;=AP$3,$E14&gt;=AP$3),"ac",""))</f>
        <v/>
      </c>
      <c r="AQ14" s="2" t="str">
        <f t="shared" ref="AQ14" si="250">IF($B13="","",IF(AND($D14&lt;=AQ$3,$E14&gt;=AQ$3),"ac",""))</f>
        <v/>
      </c>
      <c r="AR14" s="2" t="str">
        <f t="shared" ref="AR14" si="251">IF($B13="","",IF(AND($D14&lt;=AR$3,$E14&gt;=AR$3),"ac",""))</f>
        <v/>
      </c>
      <c r="AS14" s="2" t="str">
        <f t="shared" ref="AS14" si="252">IF($B13="","",IF(AND($D14&lt;=AS$3,$E14&gt;=AS$3),"ac",""))</f>
        <v/>
      </c>
      <c r="AT14" s="2" t="str">
        <f t="shared" ref="AT14" si="253">IF($B13="","",IF(AND($D14&lt;=AT$3,$E14&gt;=AT$3),"ac",""))</f>
        <v/>
      </c>
      <c r="AU14" s="2" t="str">
        <f t="shared" ref="AU14" si="254">IF($B13="","",IF(AND($D14&lt;=AU$3,$E14&gt;=AU$3),"ac",""))</f>
        <v/>
      </c>
      <c r="AV14" s="2" t="str">
        <f t="shared" ref="AV14" si="255">IF($B13="","",IF(AND($D14&lt;=AV$3,$E14&gt;=AV$3),"ac",""))</f>
        <v/>
      </c>
      <c r="AW14" s="2" t="str">
        <f t="shared" ref="AW14" si="256">IF($B13="","",IF(AND($D14&lt;=AW$3,$E14&gt;=AW$3),"ac",""))</f>
        <v/>
      </c>
      <c r="AX14" s="2" t="str">
        <f t="shared" ref="AX14" si="257">IF($B13="","",IF(AND($D14&lt;=AX$3,$E14&gt;=AX$3),"ac",""))</f>
        <v/>
      </c>
      <c r="AY14" s="2" t="str">
        <f t="shared" ref="AY14" si="258">IF($B13="","",IF(AND($D14&lt;=AY$3,$E14&gt;=AY$3),"ac",""))</f>
        <v/>
      </c>
      <c r="AZ14" s="2" t="str">
        <f t="shared" ref="AZ14" si="259">IF($B13="","",IF(AND($D14&lt;=AZ$3,$E14&gt;=AZ$3),"ac",""))</f>
        <v/>
      </c>
      <c r="BA14" s="2" t="str">
        <f t="shared" ref="BA14" si="260">IF($B13="","",IF(AND($D14&lt;=BA$3,$E14&gt;=BA$3),"ac",""))</f>
        <v/>
      </c>
      <c r="BB14" s="2" t="str">
        <f t="shared" ref="BB14" si="261">IF($B13="","",IF(AND($D14&lt;=BB$3,$E14&gt;=BB$3),"ac",""))</f>
        <v/>
      </c>
      <c r="BC14" s="2" t="str">
        <f t="shared" ref="BC14" si="262">IF($B13="","",IF(AND($D14&lt;=BC$3,$E14&gt;=BC$3),"ac",""))</f>
        <v/>
      </c>
      <c r="BD14" s="2" t="str">
        <f t="shared" ref="BD14" si="263">IF($B13="","",IF(AND($D14&lt;=BD$3,$E14&gt;=BD$3),"ac",""))</f>
        <v/>
      </c>
      <c r="BE14" s="2" t="str">
        <f t="shared" ref="BE14" si="264">IF($B13="","",IF(AND($D14&lt;=BE$3,$E14&gt;=BE$3),"ac",""))</f>
        <v/>
      </c>
      <c r="BF14" s="2" t="str">
        <f t="shared" ref="BF14" si="265">IF($B13="","",IF(AND($D14&lt;=BF$3,$E14&gt;=BF$3),"ac",""))</f>
        <v/>
      </c>
      <c r="BG14" s="2" t="str">
        <f t="shared" ref="BG14" si="266">IF($B13="","",IF(AND($D14&lt;=BG$3,$E14&gt;=BG$3),"ac",""))</f>
        <v/>
      </c>
      <c r="BH14" s="2" t="str">
        <f t="shared" ref="BH14" si="267">IF($B13="","",IF(AND($D14&lt;=BH$3,$E14&gt;=BH$3),"ac",""))</f>
        <v/>
      </c>
      <c r="BI14" s="2" t="str">
        <f t="shared" ref="BI14" si="268">IF($B13="","",IF(AND($D14&lt;=BI$3,$E14&gt;=BI$3),"ac",""))</f>
        <v/>
      </c>
      <c r="BJ14" s="2" t="str">
        <f t="shared" ref="BJ14" si="269">IF($B13="","",IF(AND($D14&lt;=BJ$3,$E14&gt;=BJ$3),"ac",""))</f>
        <v/>
      </c>
      <c r="BK14" s="2" t="str">
        <f t="shared" ref="BK14" si="270">IF($B13="","",IF(AND($D14&lt;=BK$3,$E14&gt;=BK$3),"ac",""))</f>
        <v/>
      </c>
      <c r="BL14" s="2" t="str">
        <f t="shared" ref="BL14" si="271">IF($B13="","",IF(AND($D14&lt;=BL$3,$E14&gt;=BL$3),"ac",""))</f>
        <v/>
      </c>
      <c r="BM14" s="2" t="str">
        <f t="shared" ref="BM14" si="272">IF($B13="","",IF(AND($D14&lt;=BM$3,$E14&gt;=BM$3),"ac",""))</f>
        <v/>
      </c>
      <c r="BN14" s="2" t="str">
        <f t="shared" ref="BN14" si="273">IF($B13="","",IF(AND($D14&lt;=BN$3,$E14&gt;=BN$3),"ac",""))</f>
        <v/>
      </c>
      <c r="BO14" s="2" t="str">
        <f t="shared" ref="BO14" si="274">IF($B13="","",IF(AND($D14&lt;=BO$3,$E14&gt;=BO$3),"ac",""))</f>
        <v/>
      </c>
      <c r="BP14" s="2" t="str">
        <f t="shared" ref="BP14" si="275">IF($B13="","",IF(AND($D14&lt;=BP$3,$E14&gt;=BP$3),"ac",""))</f>
        <v/>
      </c>
      <c r="BQ14" s="2" t="str">
        <f t="shared" ref="BQ14" si="276">IF($B13="","",IF(AND($D14&lt;=BQ$3,$E14&gt;=BQ$3),"ac",""))</f>
        <v/>
      </c>
      <c r="BR14" s="2" t="str">
        <f t="shared" ref="BR14" si="277">IF($B13="","",IF(AND($D14&lt;=BR$3,$E14&gt;=BR$3),"ac",""))</f>
        <v/>
      </c>
      <c r="BS14" s="2" t="str">
        <f t="shared" ref="BS14" si="278">IF($B13="","",IF(AND($D14&lt;=BS$3,$E14&gt;=BS$3),"ac",""))</f>
        <v/>
      </c>
      <c r="BT14" s="2" t="str">
        <f t="shared" ref="BT14" si="279">IF($B13="","",IF(AND($D14&lt;=BT$3,$E14&gt;=BT$3),"ac",""))</f>
        <v/>
      </c>
      <c r="BU14" s="2" t="str">
        <f t="shared" ref="BU14" si="280">IF($B13="","",IF(AND($D14&lt;=BU$3,$E14&gt;=BU$3),"ac",""))</f>
        <v/>
      </c>
      <c r="BV14" s="2" t="str">
        <f t="shared" ref="BV14" si="281">IF($B13="","",IF(AND($D14&lt;=BV$3,$E14&gt;=BV$3),"ac",""))</f>
        <v/>
      </c>
      <c r="BW14" s="2" t="str">
        <f t="shared" ref="BW14" si="282">IF($B13="","",IF(AND($D14&lt;=BW$3,$E14&gt;=BW$3),"ac",""))</f>
        <v/>
      </c>
      <c r="BX14" s="2" t="str">
        <f t="shared" ref="BX14" si="283">IF($B13="","",IF(AND($D14&lt;=BX$3,$E14&gt;=BX$3),"ac",""))</f>
        <v/>
      </c>
      <c r="BY14" s="2" t="str">
        <f t="shared" ref="BY14" si="284">IF($B13="","",IF(AND($D14&lt;=BY$3,$E14&gt;=BY$3),"ac",""))</f>
        <v/>
      </c>
    </row>
    <row r="15" spans="1:77" x14ac:dyDescent="0.3">
      <c r="A15" s="15">
        <v>2.1</v>
      </c>
      <c r="B15" s="15" t="s">
        <v>16</v>
      </c>
      <c r="C15" s="15">
        <f t="shared" si="98"/>
        <v>3</v>
      </c>
      <c r="D15" s="4">
        <v>46148</v>
      </c>
      <c r="E15" s="4">
        <v>46150</v>
      </c>
      <c r="F15" s="13" t="s">
        <v>41</v>
      </c>
      <c r="G15" s="13">
        <v>1.3</v>
      </c>
      <c r="H15" s="2" t="str">
        <f>IF($B15="","",IF(AND($D15&lt;=H$3,$E15&gt;=H$3),"a",""))</f>
        <v/>
      </c>
      <c r="I15" s="2" t="str">
        <f t="shared" si="45"/>
        <v/>
      </c>
      <c r="J15" s="2" t="str">
        <f t="shared" si="45"/>
        <v/>
      </c>
      <c r="K15" s="2" t="str">
        <f t="shared" si="45"/>
        <v/>
      </c>
      <c r="L15" s="2" t="str">
        <f t="shared" si="45"/>
        <v/>
      </c>
      <c r="M15" s="2" t="str">
        <f t="shared" si="45"/>
        <v/>
      </c>
      <c r="N15" s="2" t="str">
        <f t="shared" si="45"/>
        <v/>
      </c>
      <c r="O15" s="2" t="str">
        <f t="shared" si="45"/>
        <v/>
      </c>
      <c r="P15" s="2" t="str">
        <f t="shared" si="45"/>
        <v/>
      </c>
      <c r="Q15" s="2" t="str">
        <f t="shared" si="45"/>
        <v>a</v>
      </c>
      <c r="R15" s="2" t="str">
        <f t="shared" ref="R15:BY15" si="285">IF($B15="","",IF(AND($D15&lt;=R$3,$E15&gt;=R$3),"a",""))</f>
        <v>a</v>
      </c>
      <c r="S15" s="2" t="str">
        <f t="shared" si="285"/>
        <v>a</v>
      </c>
      <c r="T15" s="2" t="str">
        <f t="shared" si="285"/>
        <v/>
      </c>
      <c r="U15" s="2" t="str">
        <f t="shared" si="285"/>
        <v/>
      </c>
      <c r="V15" s="2" t="str">
        <f t="shared" si="285"/>
        <v/>
      </c>
      <c r="W15" s="2" t="str">
        <f t="shared" si="285"/>
        <v/>
      </c>
      <c r="X15" s="2" t="str">
        <f t="shared" si="285"/>
        <v/>
      </c>
      <c r="Y15" s="2" t="str">
        <f t="shared" si="285"/>
        <v/>
      </c>
      <c r="Z15" s="2" t="str">
        <f t="shared" si="285"/>
        <v/>
      </c>
      <c r="AA15" s="2" t="str">
        <f t="shared" si="285"/>
        <v/>
      </c>
      <c r="AB15" s="2" t="str">
        <f t="shared" si="285"/>
        <v/>
      </c>
      <c r="AC15" s="2" t="str">
        <f t="shared" si="285"/>
        <v/>
      </c>
      <c r="AD15" s="2" t="str">
        <f t="shared" si="285"/>
        <v/>
      </c>
      <c r="AE15" s="2" t="str">
        <f t="shared" si="285"/>
        <v/>
      </c>
      <c r="AF15" s="2" t="str">
        <f t="shared" si="285"/>
        <v/>
      </c>
      <c r="AG15" s="2" t="str">
        <f t="shared" si="285"/>
        <v/>
      </c>
      <c r="AH15" s="2" t="str">
        <f t="shared" si="285"/>
        <v/>
      </c>
      <c r="AI15" s="2" t="str">
        <f t="shared" si="285"/>
        <v/>
      </c>
      <c r="AJ15" s="2" t="str">
        <f t="shared" si="285"/>
        <v/>
      </c>
      <c r="AK15" s="2" t="str">
        <f t="shared" si="285"/>
        <v/>
      </c>
      <c r="AL15" s="2" t="str">
        <f t="shared" si="285"/>
        <v/>
      </c>
      <c r="AM15" s="2" t="str">
        <f t="shared" si="285"/>
        <v/>
      </c>
      <c r="AN15" s="2" t="str">
        <f t="shared" si="285"/>
        <v/>
      </c>
      <c r="AO15" s="2" t="str">
        <f t="shared" si="285"/>
        <v/>
      </c>
      <c r="AP15" s="2" t="str">
        <f t="shared" si="285"/>
        <v/>
      </c>
      <c r="AQ15" s="2" t="str">
        <f t="shared" si="285"/>
        <v/>
      </c>
      <c r="AR15" s="2" t="str">
        <f t="shared" si="285"/>
        <v/>
      </c>
      <c r="AS15" s="2" t="str">
        <f t="shared" si="285"/>
        <v/>
      </c>
      <c r="AT15" s="2" t="str">
        <f t="shared" si="285"/>
        <v/>
      </c>
      <c r="AU15" s="2" t="str">
        <f t="shared" si="285"/>
        <v/>
      </c>
      <c r="AV15" s="2" t="str">
        <f t="shared" si="285"/>
        <v/>
      </c>
      <c r="AW15" s="2" t="str">
        <f t="shared" si="285"/>
        <v/>
      </c>
      <c r="AX15" s="2" t="str">
        <f t="shared" si="285"/>
        <v/>
      </c>
      <c r="AY15" s="2" t="str">
        <f t="shared" si="285"/>
        <v/>
      </c>
      <c r="AZ15" s="2" t="str">
        <f t="shared" si="285"/>
        <v/>
      </c>
      <c r="BA15" s="2" t="str">
        <f t="shared" si="285"/>
        <v/>
      </c>
      <c r="BB15" s="2" t="str">
        <f t="shared" si="285"/>
        <v/>
      </c>
      <c r="BC15" s="2" t="str">
        <f t="shared" si="285"/>
        <v/>
      </c>
      <c r="BD15" s="2" t="str">
        <f t="shared" si="285"/>
        <v/>
      </c>
      <c r="BE15" s="2" t="str">
        <f t="shared" si="285"/>
        <v/>
      </c>
      <c r="BF15" s="2" t="str">
        <f t="shared" si="285"/>
        <v/>
      </c>
      <c r="BG15" s="2" t="str">
        <f t="shared" si="285"/>
        <v/>
      </c>
      <c r="BH15" s="2" t="str">
        <f t="shared" si="285"/>
        <v/>
      </c>
      <c r="BI15" s="2" t="str">
        <f t="shared" si="285"/>
        <v/>
      </c>
      <c r="BJ15" s="2" t="str">
        <f t="shared" si="285"/>
        <v/>
      </c>
      <c r="BK15" s="2" t="str">
        <f t="shared" si="285"/>
        <v/>
      </c>
      <c r="BL15" s="2" t="str">
        <f t="shared" si="285"/>
        <v/>
      </c>
      <c r="BM15" s="2" t="str">
        <f t="shared" si="285"/>
        <v/>
      </c>
      <c r="BN15" s="2" t="str">
        <f t="shared" si="285"/>
        <v/>
      </c>
      <c r="BO15" s="2" t="str">
        <f t="shared" si="285"/>
        <v/>
      </c>
      <c r="BP15" s="2" t="str">
        <f t="shared" si="285"/>
        <v/>
      </c>
      <c r="BQ15" s="2" t="str">
        <f t="shared" si="285"/>
        <v/>
      </c>
      <c r="BR15" s="2" t="str">
        <f t="shared" si="285"/>
        <v/>
      </c>
      <c r="BS15" s="2" t="str">
        <f t="shared" si="285"/>
        <v/>
      </c>
      <c r="BT15" s="2" t="str">
        <f t="shared" si="285"/>
        <v/>
      </c>
      <c r="BU15" s="2" t="str">
        <f t="shared" si="285"/>
        <v/>
      </c>
      <c r="BV15" s="2" t="str">
        <f t="shared" si="285"/>
        <v/>
      </c>
      <c r="BW15" s="2" t="str">
        <f t="shared" si="285"/>
        <v/>
      </c>
      <c r="BX15" s="2" t="str">
        <f t="shared" si="285"/>
        <v/>
      </c>
      <c r="BY15" s="2" t="str">
        <f t="shared" si="285"/>
        <v/>
      </c>
    </row>
    <row r="16" spans="1:77" x14ac:dyDescent="0.3">
      <c r="A16" s="15"/>
      <c r="B16" s="15"/>
      <c r="C16" s="15"/>
      <c r="D16" s="4">
        <v>46148</v>
      </c>
      <c r="E16" s="4">
        <v>46150</v>
      </c>
      <c r="F16" s="13"/>
      <c r="G16" s="13"/>
      <c r="H16" s="2" t="str">
        <f>IF($B15="","",IF(AND($D16&lt;=H$3,$E16&gt;=H$3),"ac",""))</f>
        <v/>
      </c>
      <c r="I16" s="2" t="str">
        <f t="shared" ref="I16" si="286">IF($B15="","",IF(AND($D16&lt;=I$3,$E16&gt;=I$3),"ac",""))</f>
        <v/>
      </c>
      <c r="J16" s="2" t="str">
        <f t="shared" ref="J16" si="287">IF($B15="","",IF(AND($D16&lt;=J$3,$E16&gt;=J$3),"ac",""))</f>
        <v/>
      </c>
      <c r="K16" s="2" t="str">
        <f t="shared" ref="K16" si="288">IF($B15="","",IF(AND($D16&lt;=K$3,$E16&gt;=K$3),"ac",""))</f>
        <v/>
      </c>
      <c r="L16" s="2" t="str">
        <f t="shared" ref="L16" si="289">IF($B15="","",IF(AND($D16&lt;=L$3,$E16&gt;=L$3),"ac",""))</f>
        <v/>
      </c>
      <c r="M16" s="2" t="str">
        <f t="shared" ref="M16" si="290">IF($B15="","",IF(AND($D16&lt;=M$3,$E16&gt;=M$3),"ac",""))</f>
        <v/>
      </c>
      <c r="N16" s="2" t="str">
        <f t="shared" ref="N16" si="291">IF($B15="","",IF(AND($D16&lt;=N$3,$E16&gt;=N$3),"ac",""))</f>
        <v/>
      </c>
      <c r="O16" s="2" t="str">
        <f t="shared" ref="O16" si="292">IF($B15="","",IF(AND($D16&lt;=O$3,$E16&gt;=O$3),"ac",""))</f>
        <v/>
      </c>
      <c r="P16" s="2" t="str">
        <f t="shared" ref="P16" si="293">IF($B15="","",IF(AND($D16&lt;=P$3,$E16&gt;=P$3),"ac",""))</f>
        <v/>
      </c>
      <c r="Q16" s="2" t="str">
        <f t="shared" ref="Q16" si="294">IF($B15="","",IF(AND($D16&lt;=Q$3,$E16&gt;=Q$3),"ac",""))</f>
        <v>ac</v>
      </c>
      <c r="R16" s="2" t="str">
        <f t="shared" ref="R16" si="295">IF($B15="","",IF(AND($D16&lt;=R$3,$E16&gt;=R$3),"ac",""))</f>
        <v>ac</v>
      </c>
      <c r="S16" s="2" t="str">
        <f t="shared" ref="S16" si="296">IF($B15="","",IF(AND($D16&lt;=S$3,$E16&gt;=S$3),"ac",""))</f>
        <v>ac</v>
      </c>
      <c r="T16" s="2" t="str">
        <f t="shared" ref="T16" si="297">IF($B15="","",IF(AND($D16&lt;=T$3,$E16&gt;=T$3),"ac",""))</f>
        <v/>
      </c>
      <c r="U16" s="2" t="str">
        <f t="shared" ref="U16" si="298">IF($B15="","",IF(AND($D16&lt;=U$3,$E16&gt;=U$3),"ac",""))</f>
        <v/>
      </c>
      <c r="V16" s="2" t="str">
        <f t="shared" ref="V16" si="299">IF($B15="","",IF(AND($D16&lt;=V$3,$E16&gt;=V$3),"ac",""))</f>
        <v/>
      </c>
      <c r="W16" s="2" t="str">
        <f t="shared" ref="W16" si="300">IF($B15="","",IF(AND($D16&lt;=W$3,$E16&gt;=W$3),"ac",""))</f>
        <v/>
      </c>
      <c r="X16" s="2" t="str">
        <f t="shared" ref="X16" si="301">IF($B15="","",IF(AND($D16&lt;=X$3,$E16&gt;=X$3),"ac",""))</f>
        <v/>
      </c>
      <c r="Y16" s="2" t="str">
        <f t="shared" ref="Y16" si="302">IF($B15="","",IF(AND($D16&lt;=Y$3,$E16&gt;=Y$3),"ac",""))</f>
        <v/>
      </c>
      <c r="Z16" s="2" t="str">
        <f t="shared" ref="Z16" si="303">IF($B15="","",IF(AND($D16&lt;=Z$3,$E16&gt;=Z$3),"ac",""))</f>
        <v/>
      </c>
      <c r="AA16" s="2" t="str">
        <f t="shared" ref="AA16" si="304">IF($B15="","",IF(AND($D16&lt;=AA$3,$E16&gt;=AA$3),"ac",""))</f>
        <v/>
      </c>
      <c r="AB16" s="2" t="str">
        <f t="shared" ref="AB16" si="305">IF($B15="","",IF(AND($D16&lt;=AB$3,$E16&gt;=AB$3),"ac",""))</f>
        <v/>
      </c>
      <c r="AC16" s="2" t="str">
        <f t="shared" ref="AC16" si="306">IF($B15="","",IF(AND($D16&lt;=AC$3,$E16&gt;=AC$3),"ac",""))</f>
        <v/>
      </c>
      <c r="AD16" s="2" t="str">
        <f t="shared" ref="AD16" si="307">IF($B15="","",IF(AND($D16&lt;=AD$3,$E16&gt;=AD$3),"ac",""))</f>
        <v/>
      </c>
      <c r="AE16" s="2" t="str">
        <f t="shared" ref="AE16" si="308">IF($B15="","",IF(AND($D16&lt;=AE$3,$E16&gt;=AE$3),"ac",""))</f>
        <v/>
      </c>
      <c r="AF16" s="2" t="str">
        <f t="shared" ref="AF16" si="309">IF($B15="","",IF(AND($D16&lt;=AF$3,$E16&gt;=AF$3),"ac",""))</f>
        <v/>
      </c>
      <c r="AG16" s="2" t="str">
        <f t="shared" ref="AG16" si="310">IF($B15="","",IF(AND($D16&lt;=AG$3,$E16&gt;=AG$3),"ac",""))</f>
        <v/>
      </c>
      <c r="AH16" s="2" t="str">
        <f t="shared" ref="AH16" si="311">IF($B15="","",IF(AND($D16&lt;=AH$3,$E16&gt;=AH$3),"ac",""))</f>
        <v/>
      </c>
      <c r="AI16" s="2" t="str">
        <f t="shared" ref="AI16" si="312">IF($B15="","",IF(AND($D16&lt;=AI$3,$E16&gt;=AI$3),"ac",""))</f>
        <v/>
      </c>
      <c r="AJ16" s="2" t="str">
        <f t="shared" ref="AJ16" si="313">IF($B15="","",IF(AND($D16&lt;=AJ$3,$E16&gt;=AJ$3),"ac",""))</f>
        <v/>
      </c>
      <c r="AK16" s="2" t="str">
        <f t="shared" ref="AK16" si="314">IF($B15="","",IF(AND($D16&lt;=AK$3,$E16&gt;=AK$3),"ac",""))</f>
        <v/>
      </c>
      <c r="AL16" s="2" t="str">
        <f t="shared" ref="AL16" si="315">IF($B15="","",IF(AND($D16&lt;=AL$3,$E16&gt;=AL$3),"ac",""))</f>
        <v/>
      </c>
      <c r="AM16" s="2" t="str">
        <f t="shared" ref="AM16" si="316">IF($B15="","",IF(AND($D16&lt;=AM$3,$E16&gt;=AM$3),"ac",""))</f>
        <v/>
      </c>
      <c r="AN16" s="2" t="str">
        <f t="shared" ref="AN16" si="317">IF($B15="","",IF(AND($D16&lt;=AN$3,$E16&gt;=AN$3),"ac",""))</f>
        <v/>
      </c>
      <c r="AO16" s="2" t="str">
        <f t="shared" ref="AO16" si="318">IF($B15="","",IF(AND($D16&lt;=AO$3,$E16&gt;=AO$3),"ac",""))</f>
        <v/>
      </c>
      <c r="AP16" s="2" t="str">
        <f t="shared" ref="AP16" si="319">IF($B15="","",IF(AND($D16&lt;=AP$3,$E16&gt;=AP$3),"ac",""))</f>
        <v/>
      </c>
      <c r="AQ16" s="2" t="str">
        <f t="shared" ref="AQ16" si="320">IF($B15="","",IF(AND($D16&lt;=AQ$3,$E16&gt;=AQ$3),"ac",""))</f>
        <v/>
      </c>
      <c r="AR16" s="2" t="str">
        <f t="shared" ref="AR16" si="321">IF($B15="","",IF(AND($D16&lt;=AR$3,$E16&gt;=AR$3),"ac",""))</f>
        <v/>
      </c>
      <c r="AS16" s="2" t="str">
        <f t="shared" ref="AS16" si="322">IF($B15="","",IF(AND($D16&lt;=AS$3,$E16&gt;=AS$3),"ac",""))</f>
        <v/>
      </c>
      <c r="AT16" s="2" t="str">
        <f t="shared" ref="AT16" si="323">IF($B15="","",IF(AND($D16&lt;=AT$3,$E16&gt;=AT$3),"ac",""))</f>
        <v/>
      </c>
      <c r="AU16" s="2" t="str">
        <f t="shared" ref="AU16" si="324">IF($B15="","",IF(AND($D16&lt;=AU$3,$E16&gt;=AU$3),"ac",""))</f>
        <v/>
      </c>
      <c r="AV16" s="2" t="str">
        <f t="shared" ref="AV16" si="325">IF($B15="","",IF(AND($D16&lt;=AV$3,$E16&gt;=AV$3),"ac",""))</f>
        <v/>
      </c>
      <c r="AW16" s="2" t="str">
        <f t="shared" ref="AW16" si="326">IF($B15="","",IF(AND($D16&lt;=AW$3,$E16&gt;=AW$3),"ac",""))</f>
        <v/>
      </c>
      <c r="AX16" s="2" t="str">
        <f t="shared" ref="AX16" si="327">IF($B15="","",IF(AND($D16&lt;=AX$3,$E16&gt;=AX$3),"ac",""))</f>
        <v/>
      </c>
      <c r="AY16" s="2" t="str">
        <f t="shared" ref="AY16" si="328">IF($B15="","",IF(AND($D16&lt;=AY$3,$E16&gt;=AY$3),"ac",""))</f>
        <v/>
      </c>
      <c r="AZ16" s="2" t="str">
        <f t="shared" ref="AZ16" si="329">IF($B15="","",IF(AND($D16&lt;=AZ$3,$E16&gt;=AZ$3),"ac",""))</f>
        <v/>
      </c>
      <c r="BA16" s="2" t="str">
        <f t="shared" ref="BA16" si="330">IF($B15="","",IF(AND($D16&lt;=BA$3,$E16&gt;=BA$3),"ac",""))</f>
        <v/>
      </c>
      <c r="BB16" s="2" t="str">
        <f t="shared" ref="BB16" si="331">IF($B15="","",IF(AND($D16&lt;=BB$3,$E16&gt;=BB$3),"ac",""))</f>
        <v/>
      </c>
      <c r="BC16" s="2" t="str">
        <f t="shared" ref="BC16" si="332">IF($B15="","",IF(AND($D16&lt;=BC$3,$E16&gt;=BC$3),"ac",""))</f>
        <v/>
      </c>
      <c r="BD16" s="2" t="str">
        <f t="shared" ref="BD16" si="333">IF($B15="","",IF(AND($D16&lt;=BD$3,$E16&gt;=BD$3),"ac",""))</f>
        <v/>
      </c>
      <c r="BE16" s="2" t="str">
        <f t="shared" ref="BE16" si="334">IF($B15="","",IF(AND($D16&lt;=BE$3,$E16&gt;=BE$3),"ac",""))</f>
        <v/>
      </c>
      <c r="BF16" s="2" t="str">
        <f t="shared" ref="BF16" si="335">IF($B15="","",IF(AND($D16&lt;=BF$3,$E16&gt;=BF$3),"ac",""))</f>
        <v/>
      </c>
      <c r="BG16" s="2" t="str">
        <f t="shared" ref="BG16" si="336">IF($B15="","",IF(AND($D16&lt;=BG$3,$E16&gt;=BG$3),"ac",""))</f>
        <v/>
      </c>
      <c r="BH16" s="2" t="str">
        <f t="shared" ref="BH16" si="337">IF($B15="","",IF(AND($D16&lt;=BH$3,$E16&gt;=BH$3),"ac",""))</f>
        <v/>
      </c>
      <c r="BI16" s="2" t="str">
        <f t="shared" ref="BI16" si="338">IF($B15="","",IF(AND($D16&lt;=BI$3,$E16&gt;=BI$3),"ac",""))</f>
        <v/>
      </c>
      <c r="BJ16" s="2" t="str">
        <f t="shared" ref="BJ16" si="339">IF($B15="","",IF(AND($D16&lt;=BJ$3,$E16&gt;=BJ$3),"ac",""))</f>
        <v/>
      </c>
      <c r="BK16" s="2" t="str">
        <f t="shared" ref="BK16" si="340">IF($B15="","",IF(AND($D16&lt;=BK$3,$E16&gt;=BK$3),"ac",""))</f>
        <v/>
      </c>
      <c r="BL16" s="2" t="str">
        <f t="shared" ref="BL16" si="341">IF($B15="","",IF(AND($D16&lt;=BL$3,$E16&gt;=BL$3),"ac",""))</f>
        <v/>
      </c>
      <c r="BM16" s="2" t="str">
        <f t="shared" ref="BM16" si="342">IF($B15="","",IF(AND($D16&lt;=BM$3,$E16&gt;=BM$3),"ac",""))</f>
        <v/>
      </c>
      <c r="BN16" s="2" t="str">
        <f t="shared" ref="BN16" si="343">IF($B15="","",IF(AND($D16&lt;=BN$3,$E16&gt;=BN$3),"ac",""))</f>
        <v/>
      </c>
      <c r="BO16" s="2" t="str">
        <f t="shared" ref="BO16" si="344">IF($B15="","",IF(AND($D16&lt;=BO$3,$E16&gt;=BO$3),"ac",""))</f>
        <v/>
      </c>
      <c r="BP16" s="2" t="str">
        <f t="shared" ref="BP16" si="345">IF($B15="","",IF(AND($D16&lt;=BP$3,$E16&gt;=BP$3),"ac",""))</f>
        <v/>
      </c>
      <c r="BQ16" s="2" t="str">
        <f t="shared" ref="BQ16" si="346">IF($B15="","",IF(AND($D16&lt;=BQ$3,$E16&gt;=BQ$3),"ac",""))</f>
        <v/>
      </c>
      <c r="BR16" s="2" t="str">
        <f t="shared" ref="BR16" si="347">IF($B15="","",IF(AND($D16&lt;=BR$3,$E16&gt;=BR$3),"ac",""))</f>
        <v/>
      </c>
      <c r="BS16" s="2" t="str">
        <f t="shared" ref="BS16" si="348">IF($B15="","",IF(AND($D16&lt;=BS$3,$E16&gt;=BS$3),"ac",""))</f>
        <v/>
      </c>
      <c r="BT16" s="2" t="str">
        <f t="shared" ref="BT16" si="349">IF($B15="","",IF(AND($D16&lt;=BT$3,$E16&gt;=BT$3),"ac",""))</f>
        <v/>
      </c>
      <c r="BU16" s="2" t="str">
        <f t="shared" ref="BU16" si="350">IF($B15="","",IF(AND($D16&lt;=BU$3,$E16&gt;=BU$3),"ac",""))</f>
        <v/>
      </c>
      <c r="BV16" s="2" t="str">
        <f t="shared" ref="BV16" si="351">IF($B15="","",IF(AND($D16&lt;=BV$3,$E16&gt;=BV$3),"ac",""))</f>
        <v/>
      </c>
      <c r="BW16" s="2" t="str">
        <f t="shared" ref="BW16" si="352">IF($B15="","",IF(AND($D16&lt;=BW$3,$E16&gt;=BW$3),"ac",""))</f>
        <v/>
      </c>
      <c r="BX16" s="2" t="str">
        <f t="shared" ref="BX16" si="353">IF($B15="","",IF(AND($D16&lt;=BX$3,$E16&gt;=BX$3),"ac",""))</f>
        <v/>
      </c>
      <c r="BY16" s="2" t="str">
        <f t="shared" ref="BY16" si="354">IF($B15="","",IF(AND($D16&lt;=BY$3,$E16&gt;=BY$3),"ac",""))</f>
        <v/>
      </c>
    </row>
    <row r="17" spans="1:77" x14ac:dyDescent="0.3">
      <c r="A17" s="15">
        <v>2.2000000000000002</v>
      </c>
      <c r="B17" s="15" t="s">
        <v>30</v>
      </c>
      <c r="C17" s="15">
        <f t="shared" si="98"/>
        <v>3</v>
      </c>
      <c r="D17" s="4">
        <v>46151</v>
      </c>
      <c r="E17" s="4">
        <v>46153</v>
      </c>
      <c r="F17" s="13" t="s">
        <v>42</v>
      </c>
      <c r="G17" s="13">
        <v>2.1</v>
      </c>
      <c r="H17" s="2" t="str">
        <f>IF($B17="","",IF(AND($D17&lt;=H$3,$E17&gt;=H$3),"a",""))</f>
        <v/>
      </c>
      <c r="I17" s="2" t="str">
        <f t="shared" si="45"/>
        <v/>
      </c>
      <c r="J17" s="2" t="str">
        <f t="shared" si="45"/>
        <v/>
      </c>
      <c r="K17" s="2" t="str">
        <f t="shared" si="45"/>
        <v/>
      </c>
      <c r="L17" s="2" t="str">
        <f t="shared" si="45"/>
        <v/>
      </c>
      <c r="M17" s="2" t="str">
        <f t="shared" si="45"/>
        <v/>
      </c>
      <c r="N17" s="2" t="str">
        <f t="shared" si="45"/>
        <v/>
      </c>
      <c r="O17" s="2" t="str">
        <f t="shared" si="45"/>
        <v/>
      </c>
      <c r="P17" s="2" t="str">
        <f t="shared" si="45"/>
        <v/>
      </c>
      <c r="Q17" s="2" t="str">
        <f t="shared" ref="Q17:BG17" si="355">IF($B17="","",IF(AND($D17&lt;=Q$3,$E17&gt;=Q$3),"a",""))</f>
        <v/>
      </c>
      <c r="R17" s="2" t="str">
        <f t="shared" si="355"/>
        <v/>
      </c>
      <c r="S17" s="2" t="str">
        <f t="shared" si="355"/>
        <v/>
      </c>
      <c r="T17" s="2" t="str">
        <f t="shared" si="355"/>
        <v>a</v>
      </c>
      <c r="U17" s="2" t="str">
        <f t="shared" si="355"/>
        <v>a</v>
      </c>
      <c r="V17" s="2" t="str">
        <f t="shared" si="355"/>
        <v>a</v>
      </c>
      <c r="W17" s="2" t="str">
        <f t="shared" si="355"/>
        <v/>
      </c>
      <c r="X17" s="2" t="str">
        <f t="shared" si="355"/>
        <v/>
      </c>
      <c r="Y17" s="2" t="str">
        <f t="shared" si="355"/>
        <v/>
      </c>
      <c r="Z17" s="2" t="str">
        <f t="shared" si="355"/>
        <v/>
      </c>
      <c r="AA17" s="2" t="str">
        <f t="shared" si="355"/>
        <v/>
      </c>
      <c r="AB17" s="2" t="str">
        <f t="shared" si="355"/>
        <v/>
      </c>
      <c r="AC17" s="2" t="str">
        <f t="shared" si="355"/>
        <v/>
      </c>
      <c r="AD17" s="2" t="str">
        <f t="shared" si="355"/>
        <v/>
      </c>
      <c r="AE17" s="2" t="str">
        <f t="shared" si="355"/>
        <v/>
      </c>
      <c r="AF17" s="2" t="str">
        <f t="shared" si="355"/>
        <v/>
      </c>
      <c r="AG17" s="2" t="str">
        <f t="shared" si="355"/>
        <v/>
      </c>
      <c r="AH17" s="2" t="str">
        <f t="shared" si="355"/>
        <v/>
      </c>
      <c r="AI17" s="2" t="str">
        <f t="shared" si="355"/>
        <v/>
      </c>
      <c r="AJ17" s="2" t="str">
        <f t="shared" si="355"/>
        <v/>
      </c>
      <c r="AK17" s="2" t="str">
        <f t="shared" si="355"/>
        <v/>
      </c>
      <c r="AL17" s="2" t="str">
        <f t="shared" si="355"/>
        <v/>
      </c>
      <c r="AM17" s="2" t="str">
        <f t="shared" si="355"/>
        <v/>
      </c>
      <c r="AN17" s="2" t="str">
        <f t="shared" si="355"/>
        <v/>
      </c>
      <c r="AO17" s="2" t="str">
        <f t="shared" si="355"/>
        <v/>
      </c>
      <c r="AP17" s="2" t="str">
        <f t="shared" si="355"/>
        <v/>
      </c>
      <c r="AQ17" s="2" t="str">
        <f t="shared" si="355"/>
        <v/>
      </c>
      <c r="AR17" s="2" t="str">
        <f t="shared" si="355"/>
        <v/>
      </c>
      <c r="AS17" s="2" t="str">
        <f t="shared" si="355"/>
        <v/>
      </c>
      <c r="AT17" s="2" t="str">
        <f t="shared" si="355"/>
        <v/>
      </c>
      <c r="AU17" s="2" t="str">
        <f t="shared" si="355"/>
        <v/>
      </c>
      <c r="AV17" s="2" t="str">
        <f t="shared" si="355"/>
        <v/>
      </c>
      <c r="AW17" s="2" t="str">
        <f t="shared" si="355"/>
        <v/>
      </c>
      <c r="AX17" s="2" t="str">
        <f t="shared" si="355"/>
        <v/>
      </c>
      <c r="AY17" s="2" t="str">
        <f t="shared" si="355"/>
        <v/>
      </c>
      <c r="AZ17" s="2" t="str">
        <f t="shared" si="355"/>
        <v/>
      </c>
      <c r="BA17" s="2" t="str">
        <f t="shared" si="355"/>
        <v/>
      </c>
      <c r="BB17" s="2" t="str">
        <f t="shared" si="355"/>
        <v/>
      </c>
      <c r="BC17" s="2" t="str">
        <f t="shared" si="355"/>
        <v/>
      </c>
      <c r="BD17" s="2" t="str">
        <f t="shared" si="355"/>
        <v/>
      </c>
      <c r="BE17" s="2" t="str">
        <f t="shared" si="355"/>
        <v/>
      </c>
      <c r="BF17" s="2" t="str">
        <f t="shared" si="355"/>
        <v/>
      </c>
      <c r="BG17" s="2" t="str">
        <f t="shared" si="355"/>
        <v/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</row>
    <row r="18" spans="1:77" x14ac:dyDescent="0.3">
      <c r="A18" s="15"/>
      <c r="B18" s="15"/>
      <c r="C18" s="15"/>
      <c r="D18" s="4">
        <v>46151</v>
      </c>
      <c r="E18" s="4">
        <v>46153</v>
      </c>
      <c r="F18" s="13"/>
      <c r="G18" s="13"/>
      <c r="H18" s="2" t="str">
        <f>IF($B17="","",IF(AND($D18&lt;=H$3,$E18&gt;=H$3),"ac",""))</f>
        <v/>
      </c>
      <c r="I18" s="2" t="str">
        <f t="shared" ref="I18" si="356">IF($B17="","",IF(AND($D18&lt;=I$3,$E18&gt;=I$3),"ac",""))</f>
        <v/>
      </c>
      <c r="J18" s="2" t="str">
        <f t="shared" ref="J18" si="357">IF($B17="","",IF(AND($D18&lt;=J$3,$E18&gt;=J$3),"ac",""))</f>
        <v/>
      </c>
      <c r="K18" s="2" t="str">
        <f t="shared" ref="K18" si="358">IF($B17="","",IF(AND($D18&lt;=K$3,$E18&gt;=K$3),"ac",""))</f>
        <v/>
      </c>
      <c r="L18" s="2" t="str">
        <f t="shared" ref="L18" si="359">IF($B17="","",IF(AND($D18&lt;=L$3,$E18&gt;=L$3),"ac",""))</f>
        <v/>
      </c>
      <c r="M18" s="2" t="str">
        <f t="shared" ref="M18" si="360">IF($B17="","",IF(AND($D18&lt;=M$3,$E18&gt;=M$3),"ac",""))</f>
        <v/>
      </c>
      <c r="N18" s="2" t="str">
        <f t="shared" ref="N18" si="361">IF($B17="","",IF(AND($D18&lt;=N$3,$E18&gt;=N$3),"ac",""))</f>
        <v/>
      </c>
      <c r="O18" s="2" t="str">
        <f t="shared" ref="O18" si="362">IF($B17="","",IF(AND($D18&lt;=O$3,$E18&gt;=O$3),"ac",""))</f>
        <v/>
      </c>
      <c r="P18" s="2" t="str">
        <f t="shared" ref="P18" si="363">IF($B17="","",IF(AND($D18&lt;=P$3,$E18&gt;=P$3),"ac",""))</f>
        <v/>
      </c>
      <c r="Q18" s="2" t="str">
        <f t="shared" ref="Q18" si="364">IF($B17="","",IF(AND($D18&lt;=Q$3,$E18&gt;=Q$3),"ac",""))</f>
        <v/>
      </c>
      <c r="R18" s="2" t="str">
        <f t="shared" ref="R18" si="365">IF($B17="","",IF(AND($D18&lt;=R$3,$E18&gt;=R$3),"ac",""))</f>
        <v/>
      </c>
      <c r="S18" s="2" t="str">
        <f t="shared" ref="S18" si="366">IF($B17="","",IF(AND($D18&lt;=S$3,$E18&gt;=S$3),"ac",""))</f>
        <v/>
      </c>
      <c r="T18" s="2" t="str">
        <f t="shared" ref="T18" si="367">IF($B17="","",IF(AND($D18&lt;=T$3,$E18&gt;=T$3),"ac",""))</f>
        <v>ac</v>
      </c>
      <c r="U18" s="2" t="str">
        <f t="shared" ref="U18" si="368">IF($B17="","",IF(AND($D18&lt;=U$3,$E18&gt;=U$3),"ac",""))</f>
        <v>ac</v>
      </c>
      <c r="V18" s="2" t="str">
        <f t="shared" ref="V18" si="369">IF($B17="","",IF(AND($D18&lt;=V$3,$E18&gt;=V$3),"ac",""))</f>
        <v>ac</v>
      </c>
      <c r="W18" s="2" t="str">
        <f t="shared" ref="W18" si="370">IF($B17="","",IF(AND($D18&lt;=W$3,$E18&gt;=W$3),"ac",""))</f>
        <v/>
      </c>
      <c r="X18" s="2" t="str">
        <f t="shared" ref="X18" si="371">IF($B17="","",IF(AND($D18&lt;=X$3,$E18&gt;=X$3),"ac",""))</f>
        <v/>
      </c>
      <c r="Y18" s="2" t="str">
        <f t="shared" ref="Y18" si="372">IF($B17="","",IF(AND($D18&lt;=Y$3,$E18&gt;=Y$3),"ac",""))</f>
        <v/>
      </c>
      <c r="Z18" s="2" t="str">
        <f t="shared" ref="Z18" si="373">IF($B17="","",IF(AND($D18&lt;=Z$3,$E18&gt;=Z$3),"ac",""))</f>
        <v/>
      </c>
      <c r="AA18" s="2" t="str">
        <f t="shared" ref="AA18" si="374">IF($B17="","",IF(AND($D18&lt;=AA$3,$E18&gt;=AA$3),"ac",""))</f>
        <v/>
      </c>
      <c r="AB18" s="2" t="str">
        <f t="shared" ref="AB18" si="375">IF($B17="","",IF(AND($D18&lt;=AB$3,$E18&gt;=AB$3),"ac",""))</f>
        <v/>
      </c>
      <c r="AC18" s="2" t="str">
        <f t="shared" ref="AC18" si="376">IF($B17="","",IF(AND($D18&lt;=AC$3,$E18&gt;=AC$3),"ac",""))</f>
        <v/>
      </c>
      <c r="AD18" s="2" t="str">
        <f t="shared" ref="AD18" si="377">IF($B17="","",IF(AND($D18&lt;=AD$3,$E18&gt;=AD$3),"ac",""))</f>
        <v/>
      </c>
      <c r="AE18" s="2" t="str">
        <f t="shared" ref="AE18" si="378">IF($B17="","",IF(AND($D18&lt;=AE$3,$E18&gt;=AE$3),"ac",""))</f>
        <v/>
      </c>
      <c r="AF18" s="2" t="str">
        <f t="shared" ref="AF18" si="379">IF($B17="","",IF(AND($D18&lt;=AF$3,$E18&gt;=AF$3),"ac",""))</f>
        <v/>
      </c>
      <c r="AG18" s="2" t="str">
        <f t="shared" ref="AG18" si="380">IF($B17="","",IF(AND($D18&lt;=AG$3,$E18&gt;=AG$3),"ac",""))</f>
        <v/>
      </c>
      <c r="AH18" s="2" t="str">
        <f t="shared" ref="AH18" si="381">IF($B17="","",IF(AND($D18&lt;=AH$3,$E18&gt;=AH$3),"ac",""))</f>
        <v/>
      </c>
      <c r="AI18" s="2" t="str">
        <f t="shared" ref="AI18" si="382">IF($B17="","",IF(AND($D18&lt;=AI$3,$E18&gt;=AI$3),"ac",""))</f>
        <v/>
      </c>
      <c r="AJ18" s="2" t="str">
        <f t="shared" ref="AJ18" si="383">IF($B17="","",IF(AND($D18&lt;=AJ$3,$E18&gt;=AJ$3),"ac",""))</f>
        <v/>
      </c>
      <c r="AK18" s="2" t="str">
        <f t="shared" ref="AK18" si="384">IF($B17="","",IF(AND($D18&lt;=AK$3,$E18&gt;=AK$3),"ac",""))</f>
        <v/>
      </c>
      <c r="AL18" s="2" t="str">
        <f t="shared" ref="AL18" si="385">IF($B17="","",IF(AND($D18&lt;=AL$3,$E18&gt;=AL$3),"ac",""))</f>
        <v/>
      </c>
      <c r="AM18" s="2" t="str">
        <f t="shared" ref="AM18" si="386">IF($B17="","",IF(AND($D18&lt;=AM$3,$E18&gt;=AM$3),"ac",""))</f>
        <v/>
      </c>
      <c r="AN18" s="2" t="str">
        <f t="shared" ref="AN18" si="387">IF($B17="","",IF(AND($D18&lt;=AN$3,$E18&gt;=AN$3),"ac",""))</f>
        <v/>
      </c>
      <c r="AO18" s="2" t="str">
        <f t="shared" ref="AO18" si="388">IF($B17="","",IF(AND($D18&lt;=AO$3,$E18&gt;=AO$3),"ac",""))</f>
        <v/>
      </c>
      <c r="AP18" s="2" t="str">
        <f t="shared" ref="AP18" si="389">IF($B17="","",IF(AND($D18&lt;=AP$3,$E18&gt;=AP$3),"ac",""))</f>
        <v/>
      </c>
      <c r="AQ18" s="2" t="str">
        <f t="shared" ref="AQ18" si="390">IF($B17="","",IF(AND($D18&lt;=AQ$3,$E18&gt;=AQ$3),"ac",""))</f>
        <v/>
      </c>
      <c r="AR18" s="2" t="str">
        <f t="shared" ref="AR18" si="391">IF($B17="","",IF(AND($D18&lt;=AR$3,$E18&gt;=AR$3),"ac",""))</f>
        <v/>
      </c>
      <c r="AS18" s="2" t="str">
        <f t="shared" ref="AS18" si="392">IF($B17="","",IF(AND($D18&lt;=AS$3,$E18&gt;=AS$3),"ac",""))</f>
        <v/>
      </c>
      <c r="AT18" s="2" t="str">
        <f t="shared" ref="AT18:AW18" si="393">IF($B17="","",IF(AND($D18&lt;=AT$3,$E18&gt;=AT$3),"ac",""))</f>
        <v/>
      </c>
      <c r="AU18" s="2" t="str">
        <f t="shared" si="393"/>
        <v/>
      </c>
      <c r="AV18" s="2" t="str">
        <f t="shared" si="393"/>
        <v/>
      </c>
      <c r="AW18" s="2" t="str">
        <f t="shared" si="393"/>
        <v/>
      </c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</row>
    <row r="19" spans="1:77" x14ac:dyDescent="0.3">
      <c r="A19" s="15">
        <v>2.2999999999999998</v>
      </c>
      <c r="B19" s="15" t="s">
        <v>31</v>
      </c>
      <c r="C19" s="15">
        <f t="shared" si="98"/>
        <v>3</v>
      </c>
      <c r="D19" s="4">
        <v>46154</v>
      </c>
      <c r="E19" s="4">
        <v>46156</v>
      </c>
      <c r="F19" s="13" t="s">
        <v>43</v>
      </c>
      <c r="G19" s="13">
        <v>2.2000000000000002</v>
      </c>
      <c r="H19" s="2" t="str">
        <f>IF($B19="","",IF(AND($D19&lt;=H$3,$E19&gt;=H$3),"a",""))</f>
        <v/>
      </c>
      <c r="I19" s="2" t="str">
        <f t="shared" si="45"/>
        <v/>
      </c>
      <c r="J19" s="2" t="str">
        <f t="shared" si="45"/>
        <v/>
      </c>
      <c r="K19" s="2" t="str">
        <f t="shared" si="45"/>
        <v/>
      </c>
      <c r="L19" s="2" t="str">
        <f t="shared" si="45"/>
        <v/>
      </c>
      <c r="M19" s="2" t="str">
        <f t="shared" si="45"/>
        <v/>
      </c>
      <c r="N19" s="2" t="str">
        <f t="shared" si="45"/>
        <v/>
      </c>
      <c r="O19" s="2" t="str">
        <f t="shared" si="45"/>
        <v/>
      </c>
      <c r="P19" s="2" t="str">
        <f t="shared" si="45"/>
        <v/>
      </c>
      <c r="Q19" s="2" t="str">
        <f t="shared" ref="Q19:AO19" si="394">IF($B19="","",IF(AND($D19&lt;=Q$3,$E19&gt;=Q$3),"a",""))</f>
        <v/>
      </c>
      <c r="R19" s="2" t="str">
        <f t="shared" si="394"/>
        <v/>
      </c>
      <c r="S19" s="2" t="str">
        <f t="shared" si="394"/>
        <v/>
      </c>
      <c r="T19" s="2" t="str">
        <f t="shared" si="394"/>
        <v/>
      </c>
      <c r="U19" s="2" t="str">
        <f t="shared" si="394"/>
        <v/>
      </c>
      <c r="V19" s="2" t="str">
        <f t="shared" si="394"/>
        <v/>
      </c>
      <c r="W19" s="2" t="str">
        <f t="shared" si="394"/>
        <v>a</v>
      </c>
      <c r="X19" s="2" t="str">
        <f t="shared" si="394"/>
        <v>a</v>
      </c>
      <c r="Y19" s="2" t="str">
        <f t="shared" si="394"/>
        <v>a</v>
      </c>
      <c r="Z19" s="2" t="str">
        <f t="shared" si="394"/>
        <v/>
      </c>
      <c r="AA19" s="2" t="str">
        <f t="shared" si="394"/>
        <v/>
      </c>
      <c r="AB19" s="2" t="str">
        <f t="shared" si="394"/>
        <v/>
      </c>
      <c r="AC19" s="2" t="str">
        <f t="shared" si="394"/>
        <v/>
      </c>
      <c r="AD19" s="2" t="str">
        <f t="shared" si="394"/>
        <v/>
      </c>
      <c r="AE19" s="2" t="str">
        <f t="shared" si="394"/>
        <v/>
      </c>
      <c r="AF19" s="2" t="str">
        <f t="shared" si="394"/>
        <v/>
      </c>
      <c r="AG19" s="2" t="str">
        <f t="shared" si="394"/>
        <v/>
      </c>
      <c r="AH19" s="2" t="str">
        <f t="shared" si="394"/>
        <v/>
      </c>
      <c r="AI19" s="2" t="str">
        <f t="shared" si="394"/>
        <v/>
      </c>
      <c r="AJ19" s="2" t="str">
        <f t="shared" si="394"/>
        <v/>
      </c>
      <c r="AK19" s="2" t="str">
        <f t="shared" si="394"/>
        <v/>
      </c>
      <c r="AL19" s="2" t="str">
        <f t="shared" si="394"/>
        <v/>
      </c>
      <c r="AM19" s="2" t="str">
        <f t="shared" si="394"/>
        <v/>
      </c>
      <c r="AN19" s="2" t="str">
        <f t="shared" si="394"/>
        <v/>
      </c>
      <c r="AO19" s="2" t="str">
        <f t="shared" si="394"/>
        <v/>
      </c>
      <c r="AP19" s="2" t="str">
        <f t="shared" ref="I19:AW19" si="395">IF($B19="","",IF(AND($D19&lt;=AP$3,$E19&gt;=AP$3),"a",""))</f>
        <v/>
      </c>
      <c r="AQ19" s="2" t="str">
        <f t="shared" si="395"/>
        <v/>
      </c>
      <c r="AR19" s="2" t="str">
        <f t="shared" si="395"/>
        <v/>
      </c>
      <c r="AS19" s="2" t="str">
        <f t="shared" si="395"/>
        <v/>
      </c>
      <c r="AT19" s="2" t="str">
        <f t="shared" si="395"/>
        <v/>
      </c>
      <c r="AU19" s="2" t="str">
        <f t="shared" si="395"/>
        <v/>
      </c>
      <c r="AV19" s="2" t="str">
        <f t="shared" si="395"/>
        <v/>
      </c>
      <c r="AW19" s="2" t="str">
        <f t="shared" si="395"/>
        <v/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</row>
    <row r="20" spans="1:77" x14ac:dyDescent="0.3">
      <c r="A20" s="15"/>
      <c r="B20" s="15"/>
      <c r="C20" s="15"/>
      <c r="D20" s="4">
        <v>46154</v>
      </c>
      <c r="E20" s="4">
        <v>46156</v>
      </c>
      <c r="F20" s="13"/>
      <c r="G20" s="13"/>
      <c r="H20" s="2" t="str">
        <f>IF($B19="","",IF(AND($D20&lt;=H$3,$E20&gt;=H$3),"ac",""))</f>
        <v/>
      </c>
      <c r="I20" s="2" t="str">
        <f t="shared" ref="I20" si="396">IF($B19="","",IF(AND($D20&lt;=I$3,$E20&gt;=I$3),"ac",""))</f>
        <v/>
      </c>
      <c r="J20" s="2" t="str">
        <f t="shared" ref="J20" si="397">IF($B19="","",IF(AND($D20&lt;=J$3,$E20&gt;=J$3),"ac",""))</f>
        <v/>
      </c>
      <c r="K20" s="2" t="str">
        <f t="shared" ref="K20" si="398">IF($B19="","",IF(AND($D20&lt;=K$3,$E20&gt;=K$3),"ac",""))</f>
        <v/>
      </c>
      <c r="L20" s="2" t="str">
        <f t="shared" ref="L20" si="399">IF($B19="","",IF(AND($D20&lt;=L$3,$E20&gt;=L$3),"ac",""))</f>
        <v/>
      </c>
      <c r="M20" s="2" t="str">
        <f t="shared" ref="M20" si="400">IF($B19="","",IF(AND($D20&lt;=M$3,$E20&gt;=M$3),"ac",""))</f>
        <v/>
      </c>
      <c r="N20" s="2" t="str">
        <f t="shared" ref="N20" si="401">IF($B19="","",IF(AND($D20&lt;=N$3,$E20&gt;=N$3),"ac",""))</f>
        <v/>
      </c>
      <c r="O20" s="2" t="str">
        <f t="shared" ref="O20" si="402">IF($B19="","",IF(AND($D20&lt;=O$3,$E20&gt;=O$3),"ac",""))</f>
        <v/>
      </c>
      <c r="P20" s="2" t="str">
        <f t="shared" ref="P20" si="403">IF($B19="","",IF(AND($D20&lt;=P$3,$E20&gt;=P$3),"ac",""))</f>
        <v/>
      </c>
      <c r="Q20" s="2" t="str">
        <f t="shared" ref="Q20" si="404">IF($B19="","",IF(AND($D20&lt;=Q$3,$E20&gt;=Q$3),"ac",""))</f>
        <v/>
      </c>
      <c r="R20" s="2" t="str">
        <f t="shared" ref="R20" si="405">IF($B19="","",IF(AND($D20&lt;=R$3,$E20&gt;=R$3),"ac",""))</f>
        <v/>
      </c>
      <c r="S20" s="2" t="str">
        <f t="shared" ref="S20" si="406">IF($B19="","",IF(AND($D20&lt;=S$3,$E20&gt;=S$3),"ac",""))</f>
        <v/>
      </c>
      <c r="T20" s="2" t="str">
        <f t="shared" ref="T20" si="407">IF($B19="","",IF(AND($D20&lt;=T$3,$E20&gt;=T$3),"ac",""))</f>
        <v/>
      </c>
      <c r="U20" s="2" t="str">
        <f t="shared" ref="U20" si="408">IF($B19="","",IF(AND($D20&lt;=U$3,$E20&gt;=U$3),"ac",""))</f>
        <v/>
      </c>
      <c r="V20" s="2" t="str">
        <f t="shared" ref="V20" si="409">IF($B19="","",IF(AND($D20&lt;=V$3,$E20&gt;=V$3),"ac",""))</f>
        <v/>
      </c>
      <c r="W20" s="2" t="str">
        <f t="shared" ref="W20" si="410">IF($B19="","",IF(AND($D20&lt;=W$3,$E20&gt;=W$3),"ac",""))</f>
        <v>ac</v>
      </c>
      <c r="X20" s="2" t="str">
        <f t="shared" ref="X20" si="411">IF($B19="","",IF(AND($D20&lt;=X$3,$E20&gt;=X$3),"ac",""))</f>
        <v>ac</v>
      </c>
      <c r="Y20" s="2" t="str">
        <f t="shared" ref="Y20" si="412">IF($B19="","",IF(AND($D20&lt;=Y$3,$E20&gt;=Y$3),"ac",""))</f>
        <v>ac</v>
      </c>
      <c r="Z20" s="2" t="str">
        <f t="shared" ref="Z20" si="413">IF($B19="","",IF(AND($D20&lt;=Z$3,$E20&gt;=Z$3),"ac",""))</f>
        <v/>
      </c>
      <c r="AA20" s="2" t="str">
        <f t="shared" ref="AA20" si="414">IF($B19="","",IF(AND($D20&lt;=AA$3,$E20&gt;=AA$3),"ac",""))</f>
        <v/>
      </c>
      <c r="AB20" s="2" t="str">
        <f t="shared" ref="AB20" si="415">IF($B19="","",IF(AND($D20&lt;=AB$3,$E20&gt;=AB$3),"ac",""))</f>
        <v/>
      </c>
      <c r="AC20" s="2" t="str">
        <f t="shared" ref="AC20" si="416">IF($B19="","",IF(AND($D20&lt;=AC$3,$E20&gt;=AC$3),"ac",""))</f>
        <v/>
      </c>
      <c r="AD20" s="2" t="str">
        <f t="shared" ref="AD20" si="417">IF($B19="","",IF(AND($D20&lt;=AD$3,$E20&gt;=AD$3),"ac",""))</f>
        <v/>
      </c>
      <c r="AE20" s="2" t="str">
        <f t="shared" ref="AE20" si="418">IF($B19="","",IF(AND($D20&lt;=AE$3,$E20&gt;=AE$3),"ac",""))</f>
        <v/>
      </c>
      <c r="AF20" s="2" t="str">
        <f t="shared" ref="AF20" si="419">IF($B19="","",IF(AND($D20&lt;=AF$3,$E20&gt;=AF$3),"ac",""))</f>
        <v/>
      </c>
      <c r="AG20" s="2" t="str">
        <f t="shared" ref="AG20" si="420">IF($B19="","",IF(AND($D20&lt;=AG$3,$E20&gt;=AG$3),"ac",""))</f>
        <v/>
      </c>
      <c r="AH20" s="2" t="str">
        <f t="shared" ref="AH20" si="421">IF($B19="","",IF(AND($D20&lt;=AH$3,$E20&gt;=AH$3),"ac",""))</f>
        <v/>
      </c>
      <c r="AI20" s="2" t="str">
        <f t="shared" ref="AI20" si="422">IF($B19="","",IF(AND($D20&lt;=AI$3,$E20&gt;=AI$3),"ac",""))</f>
        <v/>
      </c>
      <c r="AJ20" s="2" t="str">
        <f t="shared" ref="AJ20" si="423">IF($B19="","",IF(AND($D20&lt;=AJ$3,$E20&gt;=AJ$3),"ac",""))</f>
        <v/>
      </c>
      <c r="AK20" s="2" t="str">
        <f t="shared" ref="AK20" si="424">IF($B19="","",IF(AND($D20&lt;=AK$3,$E20&gt;=AK$3),"ac",""))</f>
        <v/>
      </c>
      <c r="AL20" s="2" t="str">
        <f t="shared" ref="AL20" si="425">IF($B19="","",IF(AND($D20&lt;=AL$3,$E20&gt;=AL$3),"ac",""))</f>
        <v/>
      </c>
      <c r="AM20" s="2" t="str">
        <f t="shared" ref="AM20" si="426">IF($B19="","",IF(AND($D20&lt;=AM$3,$E20&gt;=AM$3),"ac",""))</f>
        <v/>
      </c>
      <c r="AN20" s="2" t="str">
        <f t="shared" ref="AN20" si="427">IF($B19="","",IF(AND($D20&lt;=AN$3,$E20&gt;=AN$3),"ac",""))</f>
        <v/>
      </c>
      <c r="AO20" s="2" t="str">
        <f t="shared" ref="AO20" si="428">IF($B19="","",IF(AND($D20&lt;=AO$3,$E20&gt;=AO$3),"ac",""))</f>
        <v/>
      </c>
      <c r="AP20" s="2" t="str">
        <f t="shared" ref="AP20" si="429">IF($B19="","",IF(AND($D20&lt;=AP$3,$E20&gt;=AP$3),"ac",""))</f>
        <v/>
      </c>
      <c r="AQ20" s="2" t="str">
        <f t="shared" ref="AQ20" si="430">IF($B19="","",IF(AND($D20&lt;=AQ$3,$E20&gt;=AQ$3),"ac",""))</f>
        <v/>
      </c>
      <c r="AR20" s="2" t="str">
        <f t="shared" ref="AR20" si="431">IF($B19="","",IF(AND($D20&lt;=AR$3,$E20&gt;=AR$3),"ac",""))</f>
        <v/>
      </c>
      <c r="AS20" s="2" t="str">
        <f t="shared" ref="AS20" si="432">IF($B19="","",IF(AND($D20&lt;=AS$3,$E20&gt;=AS$3),"ac",""))</f>
        <v/>
      </c>
      <c r="AT20" s="2" t="str">
        <f t="shared" ref="AT20" si="433">IF($B19="","",IF(AND($D20&lt;=AT$3,$E20&gt;=AT$3),"ac",""))</f>
        <v/>
      </c>
      <c r="AU20" s="2" t="str">
        <f t="shared" ref="AU20" si="434">IF($B19="","",IF(AND($D20&lt;=AU$3,$E20&gt;=AU$3),"ac",""))</f>
        <v/>
      </c>
      <c r="AV20" s="2" t="str">
        <f t="shared" ref="AV20" si="435">IF($B19="","",IF(AND($D20&lt;=AV$3,$E20&gt;=AV$3),"ac",""))</f>
        <v/>
      </c>
      <c r="AW20" s="2" t="str">
        <f t="shared" ref="AW20" si="436">IF($B19="","",IF(AND($D20&lt;=AW$3,$E20&gt;=AW$3),"ac",""))</f>
        <v/>
      </c>
      <c r="AX20" s="2" t="str">
        <f t="shared" ref="AX20" si="437">IF($B19="","",IF(AND($D20&lt;=AX$3,$E20&gt;=AX$3),"ac",""))</f>
        <v/>
      </c>
      <c r="AY20" s="2" t="str">
        <f t="shared" ref="AY20" si="438">IF($B19="","",IF(AND($D20&lt;=AY$3,$E20&gt;=AY$3),"ac",""))</f>
        <v/>
      </c>
      <c r="AZ20" s="2" t="str">
        <f t="shared" ref="AZ20" si="439">IF($B19="","",IF(AND($D20&lt;=AZ$3,$E20&gt;=AZ$3),"ac",""))</f>
        <v/>
      </c>
      <c r="BA20" s="2" t="str">
        <f t="shared" ref="BA20" si="440">IF($B19="","",IF(AND($D20&lt;=BA$3,$E20&gt;=BA$3),"ac",""))</f>
        <v/>
      </c>
      <c r="BB20" s="2" t="str">
        <f t="shared" ref="BB20" si="441">IF($B19="","",IF(AND($D20&lt;=BB$3,$E20&gt;=BB$3),"ac",""))</f>
        <v/>
      </c>
      <c r="BC20" s="2" t="str">
        <f t="shared" ref="BC20" si="442">IF($B19="","",IF(AND($D20&lt;=BC$3,$E20&gt;=BC$3),"ac",""))</f>
        <v/>
      </c>
      <c r="BD20" s="2" t="str">
        <f t="shared" ref="BD20" si="443">IF($B19="","",IF(AND($D20&lt;=BD$3,$E20&gt;=BD$3),"ac",""))</f>
        <v/>
      </c>
      <c r="BE20" s="2" t="str">
        <f t="shared" ref="BE20" si="444">IF($B19="","",IF(AND($D20&lt;=BE$3,$E20&gt;=BE$3),"ac",""))</f>
        <v/>
      </c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</row>
    <row r="21" spans="1:77" ht="20.25" x14ac:dyDescent="0.3">
      <c r="A21" s="17">
        <v>3</v>
      </c>
      <c r="B21" s="18" t="s">
        <v>17</v>
      </c>
      <c r="C21" s="17">
        <f t="shared" si="98"/>
        <v>28</v>
      </c>
      <c r="D21" s="19">
        <v>46157</v>
      </c>
      <c r="E21" s="19">
        <v>46184</v>
      </c>
      <c r="F21" s="17" t="s">
        <v>44</v>
      </c>
      <c r="G21" s="17">
        <v>2</v>
      </c>
      <c r="H21" s="2" t="str">
        <f>IF($B21="","",IF(AND($D21&lt;=H$3,$E21&gt;=H$3),"a",""))</f>
        <v/>
      </c>
      <c r="I21" s="2" t="str">
        <f t="shared" si="45"/>
        <v/>
      </c>
      <c r="J21" s="2" t="str">
        <f t="shared" si="45"/>
        <v/>
      </c>
      <c r="K21" s="2" t="str">
        <f t="shared" si="45"/>
        <v/>
      </c>
      <c r="L21" s="2" t="str">
        <f t="shared" si="45"/>
        <v/>
      </c>
      <c r="M21" s="2" t="str">
        <f t="shared" si="45"/>
        <v/>
      </c>
      <c r="N21" s="2" t="str">
        <f t="shared" si="45"/>
        <v/>
      </c>
      <c r="O21" s="2" t="str">
        <f t="shared" si="45"/>
        <v/>
      </c>
      <c r="P21" s="2" t="str">
        <f t="shared" ref="P21:BY21" si="445">IF($B21="","",IF(AND($D21&lt;=P$3,$E21&gt;=P$3),"a",""))</f>
        <v/>
      </c>
      <c r="Q21" s="2" t="str">
        <f t="shared" si="445"/>
        <v/>
      </c>
      <c r="R21" s="2" t="str">
        <f t="shared" si="445"/>
        <v/>
      </c>
      <c r="S21" s="2" t="str">
        <f t="shared" si="445"/>
        <v/>
      </c>
      <c r="T21" s="2" t="str">
        <f t="shared" si="445"/>
        <v/>
      </c>
      <c r="U21" s="2" t="str">
        <f t="shared" si="445"/>
        <v/>
      </c>
      <c r="V21" s="2" t="str">
        <f t="shared" si="445"/>
        <v/>
      </c>
      <c r="W21" s="2" t="str">
        <f t="shared" si="445"/>
        <v/>
      </c>
      <c r="X21" s="2" t="str">
        <f t="shared" si="445"/>
        <v/>
      </c>
      <c r="Y21" s="2" t="str">
        <f t="shared" si="445"/>
        <v/>
      </c>
      <c r="Z21" s="2" t="str">
        <f t="shared" si="445"/>
        <v>a</v>
      </c>
      <c r="AA21" s="2" t="str">
        <f t="shared" si="445"/>
        <v>a</v>
      </c>
      <c r="AB21" s="2" t="str">
        <f t="shared" si="445"/>
        <v>a</v>
      </c>
      <c r="AC21" s="2" t="str">
        <f t="shared" si="445"/>
        <v>a</v>
      </c>
      <c r="AD21" s="2" t="str">
        <f t="shared" si="445"/>
        <v>a</v>
      </c>
      <c r="AE21" s="2" t="str">
        <f t="shared" si="445"/>
        <v>a</v>
      </c>
      <c r="AF21" s="2" t="str">
        <f t="shared" si="445"/>
        <v>a</v>
      </c>
      <c r="AG21" s="2" t="str">
        <f t="shared" si="445"/>
        <v>a</v>
      </c>
      <c r="AH21" s="2" t="str">
        <f t="shared" si="445"/>
        <v>a</v>
      </c>
      <c r="AI21" s="2" t="str">
        <f t="shared" si="445"/>
        <v>a</v>
      </c>
      <c r="AJ21" s="2" t="str">
        <f t="shared" si="445"/>
        <v>a</v>
      </c>
      <c r="AK21" s="2" t="str">
        <f t="shared" si="445"/>
        <v>a</v>
      </c>
      <c r="AL21" s="2" t="str">
        <f t="shared" si="445"/>
        <v>a</v>
      </c>
      <c r="AM21" s="2" t="str">
        <f t="shared" si="445"/>
        <v>a</v>
      </c>
      <c r="AN21" s="2" t="str">
        <f t="shared" si="445"/>
        <v>a</v>
      </c>
      <c r="AO21" s="2" t="str">
        <f t="shared" si="445"/>
        <v>a</v>
      </c>
      <c r="AP21" s="2" t="str">
        <f t="shared" si="445"/>
        <v>a</v>
      </c>
      <c r="AQ21" s="2" t="str">
        <f t="shared" si="445"/>
        <v>a</v>
      </c>
      <c r="AR21" s="2" t="str">
        <f t="shared" si="445"/>
        <v>a</v>
      </c>
      <c r="AS21" s="2" t="str">
        <f t="shared" si="445"/>
        <v>a</v>
      </c>
      <c r="AT21" s="2" t="str">
        <f t="shared" si="445"/>
        <v>a</v>
      </c>
      <c r="AU21" s="2" t="str">
        <f t="shared" si="445"/>
        <v>a</v>
      </c>
      <c r="AV21" s="2" t="str">
        <f t="shared" si="445"/>
        <v>a</v>
      </c>
      <c r="AW21" s="2" t="str">
        <f t="shared" si="445"/>
        <v>a</v>
      </c>
      <c r="AX21" s="2" t="str">
        <f t="shared" si="445"/>
        <v>a</v>
      </c>
      <c r="AY21" s="2" t="str">
        <f t="shared" si="445"/>
        <v>a</v>
      </c>
      <c r="AZ21" s="2" t="str">
        <f t="shared" si="445"/>
        <v>a</v>
      </c>
      <c r="BA21" s="2" t="str">
        <f t="shared" si="445"/>
        <v>a</v>
      </c>
      <c r="BB21" s="2" t="str">
        <f t="shared" si="445"/>
        <v/>
      </c>
      <c r="BC21" s="2" t="str">
        <f t="shared" si="445"/>
        <v/>
      </c>
      <c r="BD21" s="2" t="str">
        <f t="shared" si="445"/>
        <v/>
      </c>
      <c r="BE21" s="2" t="str">
        <f t="shared" si="445"/>
        <v/>
      </c>
      <c r="BF21" s="2" t="str">
        <f t="shared" si="445"/>
        <v/>
      </c>
      <c r="BG21" s="2" t="str">
        <f t="shared" si="445"/>
        <v/>
      </c>
      <c r="BH21" s="2" t="str">
        <f t="shared" si="445"/>
        <v/>
      </c>
      <c r="BI21" s="2" t="str">
        <f t="shared" si="445"/>
        <v/>
      </c>
      <c r="BJ21" s="2" t="str">
        <f t="shared" si="445"/>
        <v/>
      </c>
      <c r="BK21" s="2" t="str">
        <f t="shared" si="445"/>
        <v/>
      </c>
      <c r="BL21" s="2" t="str">
        <f t="shared" si="445"/>
        <v/>
      </c>
      <c r="BM21" s="2" t="str">
        <f t="shared" si="445"/>
        <v/>
      </c>
      <c r="BN21" s="2" t="str">
        <f t="shared" si="445"/>
        <v/>
      </c>
      <c r="BO21" s="2" t="str">
        <f t="shared" si="445"/>
        <v/>
      </c>
      <c r="BP21" s="2" t="str">
        <f t="shared" si="445"/>
        <v/>
      </c>
      <c r="BQ21" s="2" t="str">
        <f t="shared" si="445"/>
        <v/>
      </c>
      <c r="BR21" s="2" t="str">
        <f t="shared" si="445"/>
        <v/>
      </c>
      <c r="BS21" s="2" t="str">
        <f t="shared" si="445"/>
        <v/>
      </c>
      <c r="BT21" s="2" t="str">
        <f t="shared" si="445"/>
        <v/>
      </c>
      <c r="BU21" s="2" t="str">
        <f t="shared" si="445"/>
        <v/>
      </c>
      <c r="BV21" s="2" t="str">
        <f t="shared" si="445"/>
        <v/>
      </c>
      <c r="BW21" s="2" t="str">
        <f t="shared" si="445"/>
        <v/>
      </c>
      <c r="BX21" s="2" t="str">
        <f t="shared" si="445"/>
        <v/>
      </c>
      <c r="BY21" s="2" t="str">
        <f t="shared" si="445"/>
        <v/>
      </c>
    </row>
    <row r="22" spans="1:77" ht="20.25" x14ac:dyDescent="0.3">
      <c r="A22" s="17"/>
      <c r="B22" s="18"/>
      <c r="C22" s="17"/>
      <c r="D22" s="19">
        <v>46157</v>
      </c>
      <c r="E22" s="19">
        <v>46184</v>
      </c>
      <c r="F22" s="17"/>
      <c r="G22" s="17"/>
      <c r="H22" s="2" t="str">
        <f>IF($B21="","",IF(AND($D22&lt;=H$3,$E22&gt;=H$3),"ac",""))</f>
        <v/>
      </c>
      <c r="I22" s="2" t="str">
        <f t="shared" ref="I22" si="446">IF($B21="","",IF(AND($D22&lt;=I$3,$E22&gt;=I$3),"ac",""))</f>
        <v/>
      </c>
      <c r="J22" s="2" t="str">
        <f t="shared" ref="J22" si="447">IF($B21="","",IF(AND($D22&lt;=J$3,$E22&gt;=J$3),"ac",""))</f>
        <v/>
      </c>
      <c r="K22" s="2" t="str">
        <f t="shared" ref="K22" si="448">IF($B21="","",IF(AND($D22&lt;=K$3,$E22&gt;=K$3),"ac",""))</f>
        <v/>
      </c>
      <c r="L22" s="2" t="str">
        <f t="shared" ref="L22" si="449">IF($B21="","",IF(AND($D22&lt;=L$3,$E22&gt;=L$3),"ac",""))</f>
        <v/>
      </c>
      <c r="M22" s="2" t="str">
        <f t="shared" ref="M22" si="450">IF($B21="","",IF(AND($D22&lt;=M$3,$E22&gt;=M$3),"ac",""))</f>
        <v/>
      </c>
      <c r="N22" s="2" t="str">
        <f t="shared" ref="N22" si="451">IF($B21="","",IF(AND($D22&lt;=N$3,$E22&gt;=N$3),"ac",""))</f>
        <v/>
      </c>
      <c r="O22" s="2" t="str">
        <f t="shared" ref="O22" si="452">IF($B21="","",IF(AND($D22&lt;=O$3,$E22&gt;=O$3),"ac",""))</f>
        <v/>
      </c>
      <c r="P22" s="2" t="str">
        <f t="shared" ref="P22" si="453">IF($B21="","",IF(AND($D22&lt;=P$3,$E22&gt;=P$3),"ac",""))</f>
        <v/>
      </c>
      <c r="Q22" s="2" t="str">
        <f t="shared" ref="Q22" si="454">IF($B21="","",IF(AND($D22&lt;=Q$3,$E22&gt;=Q$3),"ac",""))</f>
        <v/>
      </c>
      <c r="R22" s="2" t="str">
        <f t="shared" ref="R22" si="455">IF($B21="","",IF(AND($D22&lt;=R$3,$E22&gt;=R$3),"ac",""))</f>
        <v/>
      </c>
      <c r="S22" s="2" t="str">
        <f t="shared" ref="S22" si="456">IF($B21="","",IF(AND($D22&lt;=S$3,$E22&gt;=S$3),"ac",""))</f>
        <v/>
      </c>
      <c r="T22" s="2" t="str">
        <f t="shared" ref="T22" si="457">IF($B21="","",IF(AND($D22&lt;=T$3,$E22&gt;=T$3),"ac",""))</f>
        <v/>
      </c>
      <c r="U22" s="2" t="str">
        <f t="shared" ref="U22" si="458">IF($B21="","",IF(AND($D22&lt;=U$3,$E22&gt;=U$3),"ac",""))</f>
        <v/>
      </c>
      <c r="V22" s="2" t="str">
        <f t="shared" ref="V22" si="459">IF($B21="","",IF(AND($D22&lt;=V$3,$E22&gt;=V$3),"ac",""))</f>
        <v/>
      </c>
      <c r="W22" s="2" t="str">
        <f t="shared" ref="W22" si="460">IF($B21="","",IF(AND($D22&lt;=W$3,$E22&gt;=W$3),"ac",""))</f>
        <v/>
      </c>
      <c r="X22" s="2" t="str">
        <f t="shared" ref="X22" si="461">IF($B21="","",IF(AND($D22&lt;=X$3,$E22&gt;=X$3),"ac",""))</f>
        <v/>
      </c>
      <c r="Y22" s="2" t="str">
        <f t="shared" ref="Y22" si="462">IF($B21="","",IF(AND($D22&lt;=Y$3,$E22&gt;=Y$3),"ac",""))</f>
        <v/>
      </c>
      <c r="Z22" s="2" t="str">
        <f t="shared" ref="Z22" si="463">IF($B21="","",IF(AND($D22&lt;=Z$3,$E22&gt;=Z$3),"ac",""))</f>
        <v>ac</v>
      </c>
      <c r="AA22" s="2" t="str">
        <f t="shared" ref="AA22" si="464">IF($B21="","",IF(AND($D22&lt;=AA$3,$E22&gt;=AA$3),"ac",""))</f>
        <v>ac</v>
      </c>
      <c r="AB22" s="2" t="str">
        <f t="shared" ref="AB22" si="465">IF($B21="","",IF(AND($D22&lt;=AB$3,$E22&gt;=AB$3),"ac",""))</f>
        <v>ac</v>
      </c>
      <c r="AC22" s="2" t="str">
        <f t="shared" ref="AC22" si="466">IF($B21="","",IF(AND($D22&lt;=AC$3,$E22&gt;=AC$3),"ac",""))</f>
        <v>ac</v>
      </c>
      <c r="AD22" s="2" t="str">
        <f t="shared" ref="AD22" si="467">IF($B21="","",IF(AND($D22&lt;=AD$3,$E22&gt;=AD$3),"ac",""))</f>
        <v>ac</v>
      </c>
      <c r="AE22" s="2" t="str">
        <f t="shared" ref="AE22" si="468">IF($B21="","",IF(AND($D22&lt;=AE$3,$E22&gt;=AE$3),"ac",""))</f>
        <v>ac</v>
      </c>
      <c r="AF22" s="2" t="str">
        <f t="shared" ref="AF22" si="469">IF($B21="","",IF(AND($D22&lt;=AF$3,$E22&gt;=AF$3),"ac",""))</f>
        <v>ac</v>
      </c>
      <c r="AG22" s="2" t="str">
        <f t="shared" ref="AG22" si="470">IF($B21="","",IF(AND($D22&lt;=AG$3,$E22&gt;=AG$3),"ac",""))</f>
        <v>ac</v>
      </c>
      <c r="AH22" s="2" t="str">
        <f t="shared" ref="AH22" si="471">IF($B21="","",IF(AND($D22&lt;=AH$3,$E22&gt;=AH$3),"ac",""))</f>
        <v>ac</v>
      </c>
      <c r="AI22" s="2" t="str">
        <f t="shared" ref="AI22" si="472">IF($B21="","",IF(AND($D22&lt;=AI$3,$E22&gt;=AI$3),"ac",""))</f>
        <v>ac</v>
      </c>
      <c r="AJ22" s="2" t="str">
        <f t="shared" ref="AJ22" si="473">IF($B21="","",IF(AND($D22&lt;=AJ$3,$E22&gt;=AJ$3),"ac",""))</f>
        <v>ac</v>
      </c>
      <c r="AK22" s="2" t="str">
        <f t="shared" ref="AK22" si="474">IF($B21="","",IF(AND($D22&lt;=AK$3,$E22&gt;=AK$3),"ac",""))</f>
        <v>ac</v>
      </c>
      <c r="AL22" s="2" t="str">
        <f t="shared" ref="AL22" si="475">IF($B21="","",IF(AND($D22&lt;=AL$3,$E22&gt;=AL$3),"ac",""))</f>
        <v>ac</v>
      </c>
      <c r="AM22" s="2" t="str">
        <f t="shared" ref="AM22" si="476">IF($B21="","",IF(AND($D22&lt;=AM$3,$E22&gt;=AM$3),"ac",""))</f>
        <v>ac</v>
      </c>
      <c r="AN22" s="2" t="str">
        <f t="shared" ref="AN22" si="477">IF($B21="","",IF(AND($D22&lt;=AN$3,$E22&gt;=AN$3),"ac",""))</f>
        <v>ac</v>
      </c>
      <c r="AO22" s="2" t="str">
        <f t="shared" ref="AO22" si="478">IF($B21="","",IF(AND($D22&lt;=AO$3,$E22&gt;=AO$3),"ac",""))</f>
        <v>ac</v>
      </c>
      <c r="AP22" s="2" t="str">
        <f t="shared" ref="AP22" si="479">IF($B21="","",IF(AND($D22&lt;=AP$3,$E22&gt;=AP$3),"ac",""))</f>
        <v>ac</v>
      </c>
      <c r="AQ22" s="2" t="str">
        <f t="shared" ref="AQ22" si="480">IF($B21="","",IF(AND($D22&lt;=AQ$3,$E22&gt;=AQ$3),"ac",""))</f>
        <v>ac</v>
      </c>
      <c r="AR22" s="2" t="str">
        <f t="shared" ref="AR22" si="481">IF($B21="","",IF(AND($D22&lt;=AR$3,$E22&gt;=AR$3),"ac",""))</f>
        <v>ac</v>
      </c>
      <c r="AS22" s="2" t="str">
        <f t="shared" ref="AS22" si="482">IF($B21="","",IF(AND($D22&lt;=AS$3,$E22&gt;=AS$3),"ac",""))</f>
        <v>ac</v>
      </c>
      <c r="AT22" s="2" t="str">
        <f t="shared" ref="AT22" si="483">IF($B21="","",IF(AND($D22&lt;=AT$3,$E22&gt;=AT$3),"ac",""))</f>
        <v>ac</v>
      </c>
      <c r="AU22" s="2" t="str">
        <f t="shared" ref="AU22" si="484">IF($B21="","",IF(AND($D22&lt;=AU$3,$E22&gt;=AU$3),"ac",""))</f>
        <v>ac</v>
      </c>
      <c r="AV22" s="2" t="str">
        <f t="shared" ref="AV22" si="485">IF($B21="","",IF(AND($D22&lt;=AV$3,$E22&gt;=AV$3),"ac",""))</f>
        <v>ac</v>
      </c>
      <c r="AW22" s="2" t="str">
        <f t="shared" ref="AW22" si="486">IF($B21="","",IF(AND($D22&lt;=AW$3,$E22&gt;=AW$3),"ac",""))</f>
        <v>ac</v>
      </c>
      <c r="AX22" s="2" t="str">
        <f t="shared" ref="AX22" si="487">IF($B21="","",IF(AND($D22&lt;=AX$3,$E22&gt;=AX$3),"ac",""))</f>
        <v>ac</v>
      </c>
      <c r="AY22" s="2" t="str">
        <f t="shared" ref="AY22" si="488">IF($B21="","",IF(AND($D22&lt;=AY$3,$E22&gt;=AY$3),"ac",""))</f>
        <v>ac</v>
      </c>
      <c r="AZ22" s="2" t="str">
        <f t="shared" ref="AZ22" si="489">IF($B21="","",IF(AND($D22&lt;=AZ$3,$E22&gt;=AZ$3),"ac",""))</f>
        <v>ac</v>
      </c>
      <c r="BA22" s="2" t="str">
        <f t="shared" ref="BA22" si="490">IF($B21="","",IF(AND($D22&lt;=BA$3,$E22&gt;=BA$3),"ac",""))</f>
        <v>ac</v>
      </c>
      <c r="BB22" s="2" t="str">
        <f t="shared" ref="BB22" si="491">IF($B21="","",IF(AND($D22&lt;=BB$3,$E22&gt;=BB$3),"ac",""))</f>
        <v/>
      </c>
      <c r="BC22" s="2" t="str">
        <f t="shared" ref="BC22" si="492">IF($B21="","",IF(AND($D22&lt;=BC$3,$E22&gt;=BC$3),"ac",""))</f>
        <v/>
      </c>
      <c r="BD22" s="2" t="str">
        <f t="shared" ref="BD22" si="493">IF($B21="","",IF(AND($D22&lt;=BD$3,$E22&gt;=BD$3),"ac",""))</f>
        <v/>
      </c>
      <c r="BE22" s="2" t="str">
        <f t="shared" ref="BE22" si="494">IF($B21="","",IF(AND($D22&lt;=BE$3,$E22&gt;=BE$3),"ac",""))</f>
        <v/>
      </c>
      <c r="BF22" s="2" t="str">
        <f t="shared" ref="BF22" si="495">IF($B21="","",IF(AND($D22&lt;=BF$3,$E22&gt;=BF$3),"ac",""))</f>
        <v/>
      </c>
      <c r="BG22" s="2" t="str">
        <f t="shared" ref="BG22" si="496">IF($B21="","",IF(AND($D22&lt;=BG$3,$E22&gt;=BG$3),"ac",""))</f>
        <v/>
      </c>
      <c r="BH22" s="2" t="str">
        <f t="shared" ref="BH22" si="497">IF($B21="","",IF(AND($D22&lt;=BH$3,$E22&gt;=BH$3),"ac",""))</f>
        <v/>
      </c>
      <c r="BI22" s="2" t="str">
        <f t="shared" ref="BI22" si="498">IF($B21="","",IF(AND($D22&lt;=BI$3,$E22&gt;=BI$3),"ac",""))</f>
        <v/>
      </c>
      <c r="BJ22" s="2" t="str">
        <f t="shared" ref="BJ22" si="499">IF($B21="","",IF(AND($D22&lt;=BJ$3,$E22&gt;=BJ$3),"ac",""))</f>
        <v/>
      </c>
      <c r="BK22" s="2" t="str">
        <f t="shared" ref="BK22" si="500">IF($B21="","",IF(AND($D22&lt;=BK$3,$E22&gt;=BK$3),"ac",""))</f>
        <v/>
      </c>
      <c r="BL22" s="2" t="str">
        <f t="shared" ref="BL22" si="501">IF($B21="","",IF(AND($D22&lt;=BL$3,$E22&gt;=BL$3),"ac",""))</f>
        <v/>
      </c>
      <c r="BM22" s="2" t="str">
        <f t="shared" ref="BM22" si="502">IF($B21="","",IF(AND($D22&lt;=BM$3,$E22&gt;=BM$3),"ac",""))</f>
        <v/>
      </c>
      <c r="BN22" s="2" t="str">
        <f t="shared" ref="BN22" si="503">IF($B21="","",IF(AND($D22&lt;=BN$3,$E22&gt;=BN$3),"ac",""))</f>
        <v/>
      </c>
      <c r="BO22" s="2" t="str">
        <f t="shared" ref="BO22" si="504">IF($B21="","",IF(AND($D22&lt;=BO$3,$E22&gt;=BO$3),"ac",""))</f>
        <v/>
      </c>
      <c r="BP22" s="2" t="str">
        <f t="shared" ref="BP22" si="505">IF($B21="","",IF(AND($D22&lt;=BP$3,$E22&gt;=BP$3),"ac",""))</f>
        <v/>
      </c>
      <c r="BQ22" s="2" t="str">
        <f t="shared" ref="BQ22" si="506">IF($B21="","",IF(AND($D22&lt;=BQ$3,$E22&gt;=BQ$3),"ac",""))</f>
        <v/>
      </c>
      <c r="BR22" s="2" t="str">
        <f t="shared" ref="BR22" si="507">IF($B21="","",IF(AND($D22&lt;=BR$3,$E22&gt;=BR$3),"ac",""))</f>
        <v/>
      </c>
      <c r="BS22" s="2" t="str">
        <f t="shared" ref="BS22" si="508">IF($B21="","",IF(AND($D22&lt;=BS$3,$E22&gt;=BS$3),"ac",""))</f>
        <v/>
      </c>
      <c r="BT22" s="2" t="str">
        <f t="shared" ref="BT22" si="509">IF($B21="","",IF(AND($D22&lt;=BT$3,$E22&gt;=BT$3),"ac",""))</f>
        <v/>
      </c>
      <c r="BU22" s="2" t="str">
        <f t="shared" ref="BU22" si="510">IF($B21="","",IF(AND($D22&lt;=BU$3,$E22&gt;=BU$3),"ac",""))</f>
        <v/>
      </c>
      <c r="BV22" s="2" t="str">
        <f t="shared" ref="BV22" si="511">IF($B21="","",IF(AND($D22&lt;=BV$3,$E22&gt;=BV$3),"ac",""))</f>
        <v/>
      </c>
      <c r="BW22" s="2" t="str">
        <f t="shared" ref="BW22" si="512">IF($B21="","",IF(AND($D22&lt;=BW$3,$E22&gt;=BW$3),"ac",""))</f>
        <v/>
      </c>
      <c r="BX22" s="2" t="str">
        <f t="shared" ref="BX22" si="513">IF($B21="","",IF(AND($D22&lt;=BX$3,$E22&gt;=BX$3),"ac",""))</f>
        <v/>
      </c>
      <c r="BY22" s="2" t="str">
        <f t="shared" ref="BY22" si="514">IF($B21="","",IF(AND($D22&lt;=BY$3,$E22&gt;=BY$3),"ac",""))</f>
        <v/>
      </c>
    </row>
    <row r="23" spans="1:77" x14ac:dyDescent="0.3">
      <c r="A23" s="15">
        <v>3.1</v>
      </c>
      <c r="B23" s="15" t="s">
        <v>32</v>
      </c>
      <c r="C23" s="15">
        <f t="shared" si="98"/>
        <v>2</v>
      </c>
      <c r="D23" s="4">
        <v>46157</v>
      </c>
      <c r="E23" s="4">
        <v>46158</v>
      </c>
      <c r="F23" s="13" t="s">
        <v>45</v>
      </c>
      <c r="G23" s="13">
        <v>2.2999999999999998</v>
      </c>
      <c r="H23" s="2" t="str">
        <f>IF($B23="","",IF(AND($D23&lt;=H$3,$E23&gt;=H$3),"a",""))</f>
        <v/>
      </c>
      <c r="I23" s="2" t="str">
        <f t="shared" si="45"/>
        <v/>
      </c>
      <c r="J23" s="2" t="str">
        <f t="shared" si="45"/>
        <v/>
      </c>
      <c r="K23" s="2" t="str">
        <f t="shared" si="45"/>
        <v/>
      </c>
      <c r="L23" s="2" t="str">
        <f t="shared" si="45"/>
        <v/>
      </c>
      <c r="M23" s="2" t="str">
        <f t="shared" si="45"/>
        <v/>
      </c>
      <c r="N23" s="2" t="str">
        <f t="shared" si="45"/>
        <v/>
      </c>
      <c r="O23" s="2" t="str">
        <f t="shared" si="45"/>
        <v/>
      </c>
      <c r="P23" s="2" t="str">
        <f t="shared" si="45"/>
        <v/>
      </c>
      <c r="Q23" s="2" t="str">
        <f t="shared" si="45"/>
        <v/>
      </c>
      <c r="R23" s="2" t="str">
        <f t="shared" ref="R23:BY23" si="515">IF($B23="","",IF(AND($D23&lt;=R$3,$E23&gt;=R$3),"a",""))</f>
        <v/>
      </c>
      <c r="S23" s="2" t="str">
        <f t="shared" si="515"/>
        <v/>
      </c>
      <c r="T23" s="2" t="str">
        <f t="shared" si="515"/>
        <v/>
      </c>
      <c r="U23" s="2" t="str">
        <f t="shared" si="515"/>
        <v/>
      </c>
      <c r="V23" s="2" t="str">
        <f t="shared" si="515"/>
        <v/>
      </c>
      <c r="W23" s="2" t="str">
        <f t="shared" si="515"/>
        <v/>
      </c>
      <c r="X23" s="2" t="str">
        <f t="shared" si="515"/>
        <v/>
      </c>
      <c r="Y23" s="2" t="str">
        <f t="shared" si="515"/>
        <v/>
      </c>
      <c r="Z23" s="2" t="str">
        <f t="shared" si="515"/>
        <v>a</v>
      </c>
      <c r="AA23" s="2" t="str">
        <f t="shared" si="515"/>
        <v>a</v>
      </c>
      <c r="AB23" s="2" t="str">
        <f t="shared" si="515"/>
        <v/>
      </c>
      <c r="AC23" s="2" t="str">
        <f t="shared" si="515"/>
        <v/>
      </c>
      <c r="AD23" s="2" t="str">
        <f t="shared" si="515"/>
        <v/>
      </c>
      <c r="AE23" s="2" t="str">
        <f t="shared" si="515"/>
        <v/>
      </c>
      <c r="AF23" s="2" t="str">
        <f t="shared" si="515"/>
        <v/>
      </c>
      <c r="AG23" s="2" t="str">
        <f t="shared" si="515"/>
        <v/>
      </c>
      <c r="AH23" s="2" t="str">
        <f t="shared" si="515"/>
        <v/>
      </c>
      <c r="AI23" s="2" t="str">
        <f t="shared" si="515"/>
        <v/>
      </c>
      <c r="AJ23" s="2" t="str">
        <f t="shared" si="515"/>
        <v/>
      </c>
      <c r="AK23" s="2" t="str">
        <f t="shared" si="515"/>
        <v/>
      </c>
      <c r="AL23" s="2" t="str">
        <f t="shared" si="515"/>
        <v/>
      </c>
      <c r="AM23" s="2" t="str">
        <f t="shared" si="515"/>
        <v/>
      </c>
      <c r="AN23" s="2" t="str">
        <f t="shared" si="515"/>
        <v/>
      </c>
      <c r="AO23" s="2" t="str">
        <f t="shared" si="515"/>
        <v/>
      </c>
      <c r="AP23" s="2" t="str">
        <f t="shared" si="515"/>
        <v/>
      </c>
      <c r="AQ23" s="2" t="str">
        <f t="shared" si="515"/>
        <v/>
      </c>
      <c r="AR23" s="2" t="str">
        <f t="shared" si="515"/>
        <v/>
      </c>
      <c r="AS23" s="2" t="str">
        <f t="shared" si="515"/>
        <v/>
      </c>
      <c r="AT23" s="2" t="str">
        <f t="shared" si="515"/>
        <v/>
      </c>
      <c r="AU23" s="2" t="str">
        <f t="shared" si="515"/>
        <v/>
      </c>
      <c r="AV23" s="2" t="str">
        <f t="shared" si="515"/>
        <v/>
      </c>
      <c r="AW23" s="2" t="str">
        <f t="shared" si="515"/>
        <v/>
      </c>
      <c r="AX23" s="2" t="str">
        <f t="shared" si="515"/>
        <v/>
      </c>
      <c r="AY23" s="2" t="str">
        <f t="shared" si="515"/>
        <v/>
      </c>
      <c r="AZ23" s="2" t="str">
        <f t="shared" si="515"/>
        <v/>
      </c>
      <c r="BA23" s="2" t="str">
        <f t="shared" si="515"/>
        <v/>
      </c>
      <c r="BB23" s="2" t="str">
        <f t="shared" si="515"/>
        <v/>
      </c>
      <c r="BC23" s="2" t="str">
        <f t="shared" si="515"/>
        <v/>
      </c>
      <c r="BD23" s="2" t="str">
        <f t="shared" si="515"/>
        <v/>
      </c>
      <c r="BE23" s="2" t="str">
        <f t="shared" si="515"/>
        <v/>
      </c>
      <c r="BF23" s="2" t="str">
        <f t="shared" si="515"/>
        <v/>
      </c>
      <c r="BG23" s="2" t="str">
        <f t="shared" si="515"/>
        <v/>
      </c>
      <c r="BH23" s="2" t="str">
        <f t="shared" si="515"/>
        <v/>
      </c>
      <c r="BI23" s="2" t="str">
        <f t="shared" si="515"/>
        <v/>
      </c>
      <c r="BJ23" s="2" t="str">
        <f t="shared" si="515"/>
        <v/>
      </c>
      <c r="BK23" s="2" t="str">
        <f t="shared" si="515"/>
        <v/>
      </c>
      <c r="BL23" s="2" t="str">
        <f t="shared" si="515"/>
        <v/>
      </c>
      <c r="BM23" s="2" t="str">
        <f t="shared" si="515"/>
        <v/>
      </c>
      <c r="BN23" s="2" t="str">
        <f t="shared" si="515"/>
        <v/>
      </c>
      <c r="BO23" s="2" t="str">
        <f t="shared" si="515"/>
        <v/>
      </c>
      <c r="BP23" s="2" t="str">
        <f t="shared" si="515"/>
        <v/>
      </c>
      <c r="BQ23" s="2" t="str">
        <f t="shared" si="515"/>
        <v/>
      </c>
      <c r="BR23" s="2" t="str">
        <f t="shared" si="515"/>
        <v/>
      </c>
      <c r="BS23" s="2" t="str">
        <f t="shared" si="515"/>
        <v/>
      </c>
      <c r="BT23" s="2" t="str">
        <f t="shared" si="515"/>
        <v/>
      </c>
      <c r="BU23" s="2" t="str">
        <f t="shared" si="515"/>
        <v/>
      </c>
      <c r="BV23" s="2" t="str">
        <f t="shared" si="515"/>
        <v/>
      </c>
      <c r="BW23" s="2" t="str">
        <f t="shared" si="515"/>
        <v/>
      </c>
      <c r="BX23" s="2" t="str">
        <f t="shared" si="515"/>
        <v/>
      </c>
      <c r="BY23" s="2" t="str">
        <f t="shared" si="515"/>
        <v/>
      </c>
    </row>
    <row r="24" spans="1:77" x14ac:dyDescent="0.3">
      <c r="A24" s="15"/>
      <c r="B24" s="15"/>
      <c r="C24" s="15"/>
      <c r="D24" s="4">
        <v>46156</v>
      </c>
      <c r="E24" s="4">
        <v>46157</v>
      </c>
      <c r="F24" s="13"/>
      <c r="G24" s="13"/>
      <c r="H24" s="2" t="str">
        <f>IF($B23="","",IF(AND($D24&lt;=H$3,$E24&gt;=H$3),"ac",""))</f>
        <v/>
      </c>
      <c r="I24" s="2" t="str">
        <f t="shared" ref="I24" si="516">IF($B23="","",IF(AND($D24&lt;=I$3,$E24&gt;=I$3),"ac",""))</f>
        <v/>
      </c>
      <c r="J24" s="2" t="str">
        <f t="shared" ref="J24" si="517">IF($B23="","",IF(AND($D24&lt;=J$3,$E24&gt;=J$3),"ac",""))</f>
        <v/>
      </c>
      <c r="K24" s="2" t="str">
        <f t="shared" ref="K24" si="518">IF($B23="","",IF(AND($D24&lt;=K$3,$E24&gt;=K$3),"ac",""))</f>
        <v/>
      </c>
      <c r="L24" s="2" t="str">
        <f t="shared" ref="L24" si="519">IF($B23="","",IF(AND($D24&lt;=L$3,$E24&gt;=L$3),"ac",""))</f>
        <v/>
      </c>
      <c r="M24" s="2" t="str">
        <f t="shared" ref="M24" si="520">IF($B23="","",IF(AND($D24&lt;=M$3,$E24&gt;=M$3),"ac",""))</f>
        <v/>
      </c>
      <c r="N24" s="2" t="str">
        <f t="shared" ref="N24" si="521">IF($B23="","",IF(AND($D24&lt;=N$3,$E24&gt;=N$3),"ac",""))</f>
        <v/>
      </c>
      <c r="O24" s="2" t="str">
        <f t="shared" ref="O24" si="522">IF($B23="","",IF(AND($D24&lt;=O$3,$E24&gt;=O$3),"ac",""))</f>
        <v/>
      </c>
      <c r="P24" s="2" t="str">
        <f t="shared" ref="P24" si="523">IF($B23="","",IF(AND($D24&lt;=P$3,$E24&gt;=P$3),"ac",""))</f>
        <v/>
      </c>
      <c r="Q24" s="2" t="str">
        <f t="shared" ref="Q24" si="524">IF($B23="","",IF(AND($D24&lt;=Q$3,$E24&gt;=Q$3),"ac",""))</f>
        <v/>
      </c>
      <c r="R24" s="2" t="str">
        <f t="shared" ref="R24" si="525">IF($B23="","",IF(AND($D24&lt;=R$3,$E24&gt;=R$3),"ac",""))</f>
        <v/>
      </c>
      <c r="S24" s="2" t="str">
        <f t="shared" ref="S24" si="526">IF($B23="","",IF(AND($D24&lt;=S$3,$E24&gt;=S$3),"ac",""))</f>
        <v/>
      </c>
      <c r="T24" s="2" t="str">
        <f t="shared" ref="T24" si="527">IF($B23="","",IF(AND($D24&lt;=T$3,$E24&gt;=T$3),"ac",""))</f>
        <v/>
      </c>
      <c r="U24" s="2" t="str">
        <f t="shared" ref="U24" si="528">IF($B23="","",IF(AND($D24&lt;=U$3,$E24&gt;=U$3),"ac",""))</f>
        <v/>
      </c>
      <c r="V24" s="2" t="str">
        <f t="shared" ref="V24" si="529">IF($B23="","",IF(AND($D24&lt;=V$3,$E24&gt;=V$3),"ac",""))</f>
        <v/>
      </c>
      <c r="W24" s="2" t="str">
        <f t="shared" ref="W24" si="530">IF($B23="","",IF(AND($D24&lt;=W$3,$E24&gt;=W$3),"ac",""))</f>
        <v/>
      </c>
      <c r="X24" s="2" t="str">
        <f t="shared" ref="X24" si="531">IF($B23="","",IF(AND($D24&lt;=X$3,$E24&gt;=X$3),"ac",""))</f>
        <v/>
      </c>
      <c r="Y24" s="2" t="str">
        <f t="shared" ref="Y24" si="532">IF($B23="","",IF(AND($D24&lt;=Y$3,$E24&gt;=Y$3),"ac",""))</f>
        <v>ac</v>
      </c>
      <c r="Z24" s="2" t="str">
        <f t="shared" ref="Z24" si="533">IF($B23="","",IF(AND($D24&lt;=Z$3,$E24&gt;=Z$3),"ac",""))</f>
        <v>ac</v>
      </c>
      <c r="AA24" s="2" t="str">
        <f t="shared" ref="AA24" si="534">IF($B23="","",IF(AND($D24&lt;=AA$3,$E24&gt;=AA$3),"ac",""))</f>
        <v/>
      </c>
      <c r="AB24" s="2" t="str">
        <f t="shared" ref="AB24" si="535">IF($B23="","",IF(AND($D24&lt;=AB$3,$E24&gt;=AB$3),"ac",""))</f>
        <v/>
      </c>
      <c r="AC24" s="2" t="str">
        <f t="shared" ref="AC24" si="536">IF($B23="","",IF(AND($D24&lt;=AC$3,$E24&gt;=AC$3),"ac",""))</f>
        <v/>
      </c>
      <c r="AD24" s="2" t="str">
        <f t="shared" ref="AD24" si="537">IF($B23="","",IF(AND($D24&lt;=AD$3,$E24&gt;=AD$3),"ac",""))</f>
        <v/>
      </c>
      <c r="AE24" s="2" t="str">
        <f t="shared" ref="AE24" si="538">IF($B23="","",IF(AND($D24&lt;=AE$3,$E24&gt;=AE$3),"ac",""))</f>
        <v/>
      </c>
      <c r="AF24" s="2" t="str">
        <f t="shared" ref="AF24" si="539">IF($B23="","",IF(AND($D24&lt;=AF$3,$E24&gt;=AF$3),"ac",""))</f>
        <v/>
      </c>
      <c r="AG24" s="2" t="str">
        <f t="shared" ref="AG24" si="540">IF($B23="","",IF(AND($D24&lt;=AG$3,$E24&gt;=AG$3),"ac",""))</f>
        <v/>
      </c>
      <c r="AH24" s="2" t="str">
        <f t="shared" ref="AH24" si="541">IF($B23="","",IF(AND($D24&lt;=AH$3,$E24&gt;=AH$3),"ac",""))</f>
        <v/>
      </c>
      <c r="AI24" s="2" t="str">
        <f t="shared" ref="AI24" si="542">IF($B23="","",IF(AND($D24&lt;=AI$3,$E24&gt;=AI$3),"ac",""))</f>
        <v/>
      </c>
      <c r="AJ24" s="2" t="str">
        <f t="shared" ref="AJ24" si="543">IF($B23="","",IF(AND($D24&lt;=AJ$3,$E24&gt;=AJ$3),"ac",""))</f>
        <v/>
      </c>
      <c r="AK24" s="2" t="str">
        <f t="shared" ref="AK24" si="544">IF($B23="","",IF(AND($D24&lt;=AK$3,$E24&gt;=AK$3),"ac",""))</f>
        <v/>
      </c>
      <c r="AL24" s="2" t="str">
        <f t="shared" ref="AL24" si="545">IF($B23="","",IF(AND($D24&lt;=AL$3,$E24&gt;=AL$3),"ac",""))</f>
        <v/>
      </c>
      <c r="AM24" s="2" t="str">
        <f t="shared" ref="AM24" si="546">IF($B23="","",IF(AND($D24&lt;=AM$3,$E24&gt;=AM$3),"ac",""))</f>
        <v/>
      </c>
      <c r="AN24" s="2" t="str">
        <f t="shared" ref="AN24" si="547">IF($B23="","",IF(AND($D24&lt;=AN$3,$E24&gt;=AN$3),"ac",""))</f>
        <v/>
      </c>
      <c r="AO24" s="2" t="str">
        <f t="shared" ref="AO24" si="548">IF($B23="","",IF(AND($D24&lt;=AO$3,$E24&gt;=AO$3),"ac",""))</f>
        <v/>
      </c>
      <c r="AP24" s="2" t="str">
        <f t="shared" ref="AP24" si="549">IF($B23="","",IF(AND($D24&lt;=AP$3,$E24&gt;=AP$3),"ac",""))</f>
        <v/>
      </c>
      <c r="AQ24" s="2" t="str">
        <f t="shared" ref="AQ24" si="550">IF($B23="","",IF(AND($D24&lt;=AQ$3,$E24&gt;=AQ$3),"ac",""))</f>
        <v/>
      </c>
      <c r="AR24" s="2" t="str">
        <f t="shared" ref="AR24" si="551">IF($B23="","",IF(AND($D24&lt;=AR$3,$E24&gt;=AR$3),"ac",""))</f>
        <v/>
      </c>
      <c r="AS24" s="2" t="str">
        <f t="shared" ref="AS24" si="552">IF($B23="","",IF(AND($D24&lt;=AS$3,$E24&gt;=AS$3),"ac",""))</f>
        <v/>
      </c>
      <c r="AT24" s="2" t="str">
        <f t="shared" ref="AT24" si="553">IF($B23="","",IF(AND($D24&lt;=AT$3,$E24&gt;=AT$3),"ac",""))</f>
        <v/>
      </c>
      <c r="AU24" s="2" t="str">
        <f t="shared" ref="AU24" si="554">IF($B23="","",IF(AND($D24&lt;=AU$3,$E24&gt;=AU$3),"ac",""))</f>
        <v/>
      </c>
      <c r="AV24" s="2" t="str">
        <f t="shared" ref="AV24" si="555">IF($B23="","",IF(AND($D24&lt;=AV$3,$E24&gt;=AV$3),"ac",""))</f>
        <v/>
      </c>
      <c r="AW24" s="2" t="str">
        <f t="shared" ref="AW24" si="556">IF($B23="","",IF(AND($D24&lt;=AW$3,$E24&gt;=AW$3),"ac",""))</f>
        <v/>
      </c>
      <c r="AX24" s="2" t="str">
        <f t="shared" ref="AX24" si="557">IF($B23="","",IF(AND($D24&lt;=AX$3,$E24&gt;=AX$3),"ac",""))</f>
        <v/>
      </c>
      <c r="AY24" s="2" t="str">
        <f t="shared" ref="AY24" si="558">IF($B23="","",IF(AND($D24&lt;=AY$3,$E24&gt;=AY$3),"ac",""))</f>
        <v/>
      </c>
      <c r="AZ24" s="2" t="str">
        <f t="shared" ref="AZ24" si="559">IF($B23="","",IF(AND($D24&lt;=AZ$3,$E24&gt;=AZ$3),"ac",""))</f>
        <v/>
      </c>
      <c r="BA24" s="2" t="str">
        <f t="shared" ref="BA24" si="560">IF($B23="","",IF(AND($D24&lt;=BA$3,$E24&gt;=BA$3),"ac",""))</f>
        <v/>
      </c>
      <c r="BB24" s="2" t="str">
        <f t="shared" ref="BB24" si="561">IF($B23="","",IF(AND($D24&lt;=BB$3,$E24&gt;=BB$3),"ac",""))</f>
        <v/>
      </c>
      <c r="BC24" s="2" t="str">
        <f t="shared" ref="BC24" si="562">IF($B23="","",IF(AND($D24&lt;=BC$3,$E24&gt;=BC$3),"ac",""))</f>
        <v/>
      </c>
      <c r="BD24" s="2" t="str">
        <f t="shared" ref="BD24" si="563">IF($B23="","",IF(AND($D24&lt;=BD$3,$E24&gt;=BD$3),"ac",""))</f>
        <v/>
      </c>
      <c r="BE24" s="2" t="str">
        <f t="shared" ref="BE24" si="564">IF($B23="","",IF(AND($D24&lt;=BE$3,$E24&gt;=BE$3),"ac",""))</f>
        <v/>
      </c>
      <c r="BF24" s="2" t="str">
        <f t="shared" ref="BF24" si="565">IF($B23="","",IF(AND($D24&lt;=BF$3,$E24&gt;=BF$3),"ac",""))</f>
        <v/>
      </c>
      <c r="BG24" s="2" t="str">
        <f t="shared" ref="BG24" si="566">IF($B23="","",IF(AND($D24&lt;=BG$3,$E24&gt;=BG$3),"ac",""))</f>
        <v/>
      </c>
      <c r="BH24" s="2" t="str">
        <f t="shared" ref="BH24" si="567">IF($B23="","",IF(AND($D24&lt;=BH$3,$E24&gt;=BH$3),"ac",""))</f>
        <v/>
      </c>
      <c r="BI24" s="2" t="str">
        <f t="shared" ref="BI24" si="568">IF($B23="","",IF(AND($D24&lt;=BI$3,$E24&gt;=BI$3),"ac",""))</f>
        <v/>
      </c>
      <c r="BJ24" s="2" t="str">
        <f t="shared" ref="BJ24" si="569">IF($B23="","",IF(AND($D24&lt;=BJ$3,$E24&gt;=BJ$3),"ac",""))</f>
        <v/>
      </c>
      <c r="BK24" s="2" t="str">
        <f t="shared" ref="BK24" si="570">IF($B23="","",IF(AND($D24&lt;=BK$3,$E24&gt;=BK$3),"ac",""))</f>
        <v/>
      </c>
      <c r="BL24" s="2" t="str">
        <f t="shared" ref="BL24" si="571">IF($B23="","",IF(AND($D24&lt;=BL$3,$E24&gt;=BL$3),"ac",""))</f>
        <v/>
      </c>
      <c r="BM24" s="2" t="str">
        <f t="shared" ref="BM24" si="572">IF($B23="","",IF(AND($D24&lt;=BM$3,$E24&gt;=BM$3),"ac",""))</f>
        <v/>
      </c>
      <c r="BN24" s="2" t="str">
        <f t="shared" ref="BN24" si="573">IF($B23="","",IF(AND($D24&lt;=BN$3,$E24&gt;=BN$3),"ac",""))</f>
        <v/>
      </c>
      <c r="BO24" s="2" t="str">
        <f t="shared" ref="BO24" si="574">IF($B23="","",IF(AND($D24&lt;=BO$3,$E24&gt;=BO$3),"ac",""))</f>
        <v/>
      </c>
      <c r="BP24" s="2" t="str">
        <f t="shared" ref="BP24" si="575">IF($B23="","",IF(AND($D24&lt;=BP$3,$E24&gt;=BP$3),"ac",""))</f>
        <v/>
      </c>
      <c r="BQ24" s="2" t="str">
        <f t="shared" ref="BQ24" si="576">IF($B23="","",IF(AND($D24&lt;=BQ$3,$E24&gt;=BQ$3),"ac",""))</f>
        <v/>
      </c>
      <c r="BR24" s="2" t="str">
        <f t="shared" ref="BR24" si="577">IF($B23="","",IF(AND($D24&lt;=BR$3,$E24&gt;=BR$3),"ac",""))</f>
        <v/>
      </c>
      <c r="BS24" s="2" t="str">
        <f t="shared" ref="BS24" si="578">IF($B23="","",IF(AND($D24&lt;=BS$3,$E24&gt;=BS$3),"ac",""))</f>
        <v/>
      </c>
      <c r="BT24" s="2" t="str">
        <f t="shared" ref="BT24" si="579">IF($B23="","",IF(AND($D24&lt;=BT$3,$E24&gt;=BT$3),"ac",""))</f>
        <v/>
      </c>
      <c r="BU24" s="2" t="str">
        <f t="shared" ref="BU24" si="580">IF($B23="","",IF(AND($D24&lt;=BU$3,$E24&gt;=BU$3),"ac",""))</f>
        <v/>
      </c>
      <c r="BV24" s="2" t="str">
        <f t="shared" ref="BV24" si="581">IF($B23="","",IF(AND($D24&lt;=BV$3,$E24&gt;=BV$3),"ac",""))</f>
        <v/>
      </c>
      <c r="BW24" s="2" t="str">
        <f t="shared" ref="BW24" si="582">IF($B23="","",IF(AND($D24&lt;=BW$3,$E24&gt;=BW$3),"ac",""))</f>
        <v/>
      </c>
      <c r="BX24" s="2" t="str">
        <f t="shared" ref="BX24" si="583">IF($B23="","",IF(AND($D24&lt;=BX$3,$E24&gt;=BX$3),"ac",""))</f>
        <v/>
      </c>
      <c r="BY24" s="2" t="str">
        <f t="shared" ref="BY24" si="584">IF($B23="","",IF(AND($D24&lt;=BY$3,$E24&gt;=BY$3),"ac",""))</f>
        <v/>
      </c>
    </row>
    <row r="25" spans="1:77" x14ac:dyDescent="0.3">
      <c r="A25" s="15">
        <v>3.2</v>
      </c>
      <c r="B25" s="15" t="s">
        <v>18</v>
      </c>
      <c r="C25" s="15">
        <f t="shared" si="98"/>
        <v>3</v>
      </c>
      <c r="D25" s="4">
        <v>46159</v>
      </c>
      <c r="E25" s="4">
        <v>46161</v>
      </c>
      <c r="F25" s="13" t="s">
        <v>44</v>
      </c>
      <c r="G25" s="13">
        <v>3.1</v>
      </c>
      <c r="H25" s="2" t="str">
        <f>IF($B25="","",IF(AND($D25&lt;=H$3,$E25&gt;=H$3),"a",""))</f>
        <v/>
      </c>
      <c r="I25" s="2" t="str">
        <f t="shared" si="45"/>
        <v/>
      </c>
      <c r="J25" s="2" t="str">
        <f t="shared" si="45"/>
        <v/>
      </c>
      <c r="K25" s="2" t="str">
        <f t="shared" si="45"/>
        <v/>
      </c>
      <c r="L25" s="2" t="str">
        <f t="shared" si="45"/>
        <v/>
      </c>
      <c r="M25" s="2" t="str">
        <f t="shared" si="45"/>
        <v/>
      </c>
      <c r="N25" s="2" t="str">
        <f t="shared" si="45"/>
        <v/>
      </c>
      <c r="O25" s="2" t="str">
        <f t="shared" si="45"/>
        <v/>
      </c>
      <c r="P25" s="2" t="str">
        <f t="shared" si="45"/>
        <v/>
      </c>
      <c r="Q25" s="2" t="str">
        <f t="shared" ref="Q25:BY25" si="585">IF($B25="","",IF(AND($D25&lt;=Q$3,$E25&gt;=Q$3),"a",""))</f>
        <v/>
      </c>
      <c r="R25" s="2" t="str">
        <f t="shared" si="585"/>
        <v/>
      </c>
      <c r="S25" s="2" t="str">
        <f t="shared" si="585"/>
        <v/>
      </c>
      <c r="T25" s="2" t="str">
        <f t="shared" si="585"/>
        <v/>
      </c>
      <c r="U25" s="2" t="str">
        <f t="shared" si="585"/>
        <v/>
      </c>
      <c r="V25" s="2" t="str">
        <f t="shared" si="585"/>
        <v/>
      </c>
      <c r="W25" s="2" t="str">
        <f t="shared" si="585"/>
        <v/>
      </c>
      <c r="X25" s="2" t="str">
        <f t="shared" si="585"/>
        <v/>
      </c>
      <c r="Y25" s="2" t="str">
        <f t="shared" si="585"/>
        <v/>
      </c>
      <c r="Z25" s="2" t="str">
        <f t="shared" si="585"/>
        <v/>
      </c>
      <c r="AA25" s="2" t="str">
        <f t="shared" si="585"/>
        <v/>
      </c>
      <c r="AB25" s="2" t="str">
        <f t="shared" si="585"/>
        <v>a</v>
      </c>
      <c r="AC25" s="2" t="str">
        <f t="shared" si="585"/>
        <v>a</v>
      </c>
      <c r="AD25" s="2" t="str">
        <f t="shared" si="585"/>
        <v>a</v>
      </c>
      <c r="AE25" s="2" t="str">
        <f t="shared" si="585"/>
        <v/>
      </c>
      <c r="AF25" s="2" t="str">
        <f t="shared" si="585"/>
        <v/>
      </c>
      <c r="AG25" s="2" t="str">
        <f t="shared" si="585"/>
        <v/>
      </c>
      <c r="AH25" s="2" t="str">
        <f t="shared" si="585"/>
        <v/>
      </c>
      <c r="AI25" s="2" t="str">
        <f t="shared" si="585"/>
        <v/>
      </c>
      <c r="AJ25" s="2" t="str">
        <f t="shared" si="585"/>
        <v/>
      </c>
      <c r="AK25" s="2" t="str">
        <f t="shared" si="585"/>
        <v/>
      </c>
      <c r="AL25" s="2" t="str">
        <f t="shared" si="585"/>
        <v/>
      </c>
      <c r="AM25" s="2" t="str">
        <f t="shared" si="585"/>
        <v/>
      </c>
      <c r="AN25" s="2" t="str">
        <f t="shared" si="585"/>
        <v/>
      </c>
      <c r="AO25" s="2" t="str">
        <f t="shared" si="585"/>
        <v/>
      </c>
      <c r="AP25" s="2" t="str">
        <f t="shared" si="585"/>
        <v/>
      </c>
      <c r="AQ25" s="2" t="str">
        <f t="shared" si="585"/>
        <v/>
      </c>
      <c r="AR25" s="2" t="str">
        <f t="shared" si="585"/>
        <v/>
      </c>
      <c r="AS25" s="2" t="str">
        <f t="shared" si="585"/>
        <v/>
      </c>
      <c r="AT25" s="2" t="str">
        <f t="shared" si="585"/>
        <v/>
      </c>
      <c r="AU25" s="2" t="str">
        <f t="shared" si="585"/>
        <v/>
      </c>
      <c r="AV25" s="2" t="str">
        <f t="shared" si="585"/>
        <v/>
      </c>
      <c r="AW25" s="2" t="str">
        <f t="shared" si="585"/>
        <v/>
      </c>
      <c r="AX25" s="2" t="str">
        <f t="shared" si="585"/>
        <v/>
      </c>
      <c r="AY25" s="2" t="str">
        <f t="shared" si="585"/>
        <v/>
      </c>
      <c r="AZ25" s="2" t="str">
        <f t="shared" si="585"/>
        <v/>
      </c>
      <c r="BA25" s="2" t="str">
        <f t="shared" si="585"/>
        <v/>
      </c>
      <c r="BB25" s="2" t="str">
        <f t="shared" si="585"/>
        <v/>
      </c>
      <c r="BC25" s="2" t="str">
        <f t="shared" si="585"/>
        <v/>
      </c>
      <c r="BD25" s="2" t="str">
        <f t="shared" si="585"/>
        <v/>
      </c>
      <c r="BE25" s="2" t="str">
        <f t="shared" si="585"/>
        <v/>
      </c>
      <c r="BF25" s="2" t="str">
        <f t="shared" si="585"/>
        <v/>
      </c>
      <c r="BG25" s="2" t="str">
        <f t="shared" si="585"/>
        <v/>
      </c>
      <c r="BH25" s="2" t="str">
        <f t="shared" si="585"/>
        <v/>
      </c>
      <c r="BI25" s="2" t="str">
        <f t="shared" si="585"/>
        <v/>
      </c>
      <c r="BJ25" s="2" t="str">
        <f t="shared" si="585"/>
        <v/>
      </c>
      <c r="BK25" s="2" t="str">
        <f t="shared" si="585"/>
        <v/>
      </c>
      <c r="BL25" s="2" t="str">
        <f t="shared" si="585"/>
        <v/>
      </c>
      <c r="BM25" s="2" t="str">
        <f t="shared" si="585"/>
        <v/>
      </c>
      <c r="BN25" s="2" t="str">
        <f t="shared" si="585"/>
        <v/>
      </c>
      <c r="BO25" s="2" t="str">
        <f t="shared" si="585"/>
        <v/>
      </c>
      <c r="BP25" s="2" t="str">
        <f t="shared" si="585"/>
        <v/>
      </c>
      <c r="BQ25" s="2" t="str">
        <f t="shared" si="585"/>
        <v/>
      </c>
      <c r="BR25" s="2" t="str">
        <f t="shared" si="585"/>
        <v/>
      </c>
      <c r="BS25" s="2" t="str">
        <f t="shared" si="585"/>
        <v/>
      </c>
      <c r="BT25" s="2" t="str">
        <f t="shared" si="585"/>
        <v/>
      </c>
      <c r="BU25" s="2" t="str">
        <f t="shared" si="585"/>
        <v/>
      </c>
      <c r="BV25" s="2" t="str">
        <f t="shared" si="585"/>
        <v/>
      </c>
      <c r="BW25" s="2" t="str">
        <f t="shared" si="585"/>
        <v/>
      </c>
      <c r="BX25" s="2" t="str">
        <f t="shared" si="585"/>
        <v/>
      </c>
      <c r="BY25" s="2" t="str">
        <f t="shared" si="585"/>
        <v/>
      </c>
    </row>
    <row r="26" spans="1:77" x14ac:dyDescent="0.3">
      <c r="A26" s="15"/>
      <c r="B26" s="15"/>
      <c r="C26" s="15"/>
      <c r="D26" s="4">
        <v>46159</v>
      </c>
      <c r="E26" s="4">
        <v>46161</v>
      </c>
      <c r="F26" s="13"/>
      <c r="G26" s="13"/>
      <c r="H26" s="2" t="str">
        <f>IF($B25="","",IF(AND($D26&lt;=H$3,$E26&gt;=H$3),"ac",""))</f>
        <v/>
      </c>
      <c r="I26" s="2" t="str">
        <f t="shared" ref="I26" si="586">IF($B25="","",IF(AND($D26&lt;=I$3,$E26&gt;=I$3),"ac",""))</f>
        <v/>
      </c>
      <c r="J26" s="2" t="str">
        <f t="shared" ref="J26" si="587">IF($B25="","",IF(AND($D26&lt;=J$3,$E26&gt;=J$3),"ac",""))</f>
        <v/>
      </c>
      <c r="K26" s="2" t="str">
        <f t="shared" ref="K26" si="588">IF($B25="","",IF(AND($D26&lt;=K$3,$E26&gt;=K$3),"ac",""))</f>
        <v/>
      </c>
      <c r="L26" s="2" t="str">
        <f t="shared" ref="L26" si="589">IF($B25="","",IF(AND($D26&lt;=L$3,$E26&gt;=L$3),"ac",""))</f>
        <v/>
      </c>
      <c r="M26" s="2" t="str">
        <f t="shared" ref="M26" si="590">IF($B25="","",IF(AND($D26&lt;=M$3,$E26&gt;=M$3),"ac",""))</f>
        <v/>
      </c>
      <c r="N26" s="2" t="str">
        <f t="shared" ref="N26" si="591">IF($B25="","",IF(AND($D26&lt;=N$3,$E26&gt;=N$3),"ac",""))</f>
        <v/>
      </c>
      <c r="O26" s="2" t="str">
        <f t="shared" ref="O26" si="592">IF($B25="","",IF(AND($D26&lt;=O$3,$E26&gt;=O$3),"ac",""))</f>
        <v/>
      </c>
      <c r="P26" s="2" t="str">
        <f t="shared" ref="P26" si="593">IF($B25="","",IF(AND($D26&lt;=P$3,$E26&gt;=P$3),"ac",""))</f>
        <v/>
      </c>
      <c r="Q26" s="2" t="str">
        <f t="shared" ref="Q26" si="594">IF($B25="","",IF(AND($D26&lt;=Q$3,$E26&gt;=Q$3),"ac",""))</f>
        <v/>
      </c>
      <c r="R26" s="2" t="str">
        <f t="shared" ref="R26" si="595">IF($B25="","",IF(AND($D26&lt;=R$3,$E26&gt;=R$3),"ac",""))</f>
        <v/>
      </c>
      <c r="S26" s="2" t="str">
        <f t="shared" ref="S26" si="596">IF($B25="","",IF(AND($D26&lt;=S$3,$E26&gt;=S$3),"ac",""))</f>
        <v/>
      </c>
      <c r="T26" s="2" t="str">
        <f t="shared" ref="T26" si="597">IF($B25="","",IF(AND($D26&lt;=T$3,$E26&gt;=T$3),"ac",""))</f>
        <v/>
      </c>
      <c r="U26" s="2" t="str">
        <f t="shared" ref="U26" si="598">IF($B25="","",IF(AND($D26&lt;=U$3,$E26&gt;=U$3),"ac",""))</f>
        <v/>
      </c>
      <c r="V26" s="2" t="str">
        <f t="shared" ref="V26" si="599">IF($B25="","",IF(AND($D26&lt;=V$3,$E26&gt;=V$3),"ac",""))</f>
        <v/>
      </c>
      <c r="W26" s="2" t="str">
        <f t="shared" ref="W26" si="600">IF($B25="","",IF(AND($D26&lt;=W$3,$E26&gt;=W$3),"ac",""))</f>
        <v/>
      </c>
      <c r="X26" s="2" t="str">
        <f t="shared" ref="X26" si="601">IF($B25="","",IF(AND($D26&lt;=X$3,$E26&gt;=X$3),"ac",""))</f>
        <v/>
      </c>
      <c r="Y26" s="2" t="str">
        <f t="shared" ref="Y26" si="602">IF($B25="","",IF(AND($D26&lt;=Y$3,$E26&gt;=Y$3),"ac",""))</f>
        <v/>
      </c>
      <c r="Z26" s="2" t="str">
        <f t="shared" ref="Z26" si="603">IF($B25="","",IF(AND($D26&lt;=Z$3,$E26&gt;=Z$3),"ac",""))</f>
        <v/>
      </c>
      <c r="AA26" s="2" t="str">
        <f t="shared" ref="AA26" si="604">IF($B25="","",IF(AND($D26&lt;=AA$3,$E26&gt;=AA$3),"ac",""))</f>
        <v/>
      </c>
      <c r="AB26" s="2" t="str">
        <f t="shared" ref="AB26" si="605">IF($B25="","",IF(AND($D26&lt;=AB$3,$E26&gt;=AB$3),"ac",""))</f>
        <v>ac</v>
      </c>
      <c r="AC26" s="2" t="str">
        <f t="shared" ref="AC26" si="606">IF($B25="","",IF(AND($D26&lt;=AC$3,$E26&gt;=AC$3),"ac",""))</f>
        <v>ac</v>
      </c>
      <c r="AD26" s="2" t="str">
        <f t="shared" ref="AD26" si="607">IF($B25="","",IF(AND($D26&lt;=AD$3,$E26&gt;=AD$3),"ac",""))</f>
        <v>ac</v>
      </c>
      <c r="AE26" s="2" t="str">
        <f t="shared" ref="AE26" si="608">IF($B25="","",IF(AND($D26&lt;=AE$3,$E26&gt;=AE$3),"ac",""))</f>
        <v/>
      </c>
      <c r="AF26" s="2" t="str">
        <f t="shared" ref="AF26" si="609">IF($B25="","",IF(AND($D26&lt;=AF$3,$E26&gt;=AF$3),"ac",""))</f>
        <v/>
      </c>
      <c r="AG26" s="2" t="str">
        <f t="shared" ref="AG26" si="610">IF($B25="","",IF(AND($D26&lt;=AG$3,$E26&gt;=AG$3),"ac",""))</f>
        <v/>
      </c>
      <c r="AH26" s="2" t="str">
        <f t="shared" ref="AH26" si="611">IF($B25="","",IF(AND($D26&lt;=AH$3,$E26&gt;=AH$3),"ac",""))</f>
        <v/>
      </c>
      <c r="AI26" s="2" t="str">
        <f t="shared" ref="AI26" si="612">IF($B25="","",IF(AND($D26&lt;=AI$3,$E26&gt;=AI$3),"ac",""))</f>
        <v/>
      </c>
      <c r="AJ26" s="2" t="str">
        <f t="shared" ref="AJ26" si="613">IF($B25="","",IF(AND($D26&lt;=AJ$3,$E26&gt;=AJ$3),"ac",""))</f>
        <v/>
      </c>
      <c r="AK26" s="2" t="str">
        <f t="shared" ref="AK26" si="614">IF($B25="","",IF(AND($D26&lt;=AK$3,$E26&gt;=AK$3),"ac",""))</f>
        <v/>
      </c>
      <c r="AL26" s="2" t="str">
        <f t="shared" ref="AL26" si="615">IF($B25="","",IF(AND($D26&lt;=AL$3,$E26&gt;=AL$3),"ac",""))</f>
        <v/>
      </c>
      <c r="AM26" s="2" t="str">
        <f t="shared" ref="AM26" si="616">IF($B25="","",IF(AND($D26&lt;=AM$3,$E26&gt;=AM$3),"ac",""))</f>
        <v/>
      </c>
      <c r="AN26" s="2" t="str">
        <f t="shared" ref="AN26" si="617">IF($B25="","",IF(AND($D26&lt;=AN$3,$E26&gt;=AN$3),"ac",""))</f>
        <v/>
      </c>
      <c r="AO26" s="2" t="str">
        <f t="shared" ref="AO26" si="618">IF($B25="","",IF(AND($D26&lt;=AO$3,$E26&gt;=AO$3),"ac",""))</f>
        <v/>
      </c>
      <c r="AP26" s="2" t="str">
        <f t="shared" ref="AP26" si="619">IF($B25="","",IF(AND($D26&lt;=AP$3,$E26&gt;=AP$3),"ac",""))</f>
        <v/>
      </c>
      <c r="AQ26" s="2" t="str">
        <f t="shared" ref="AQ26" si="620">IF($B25="","",IF(AND($D26&lt;=AQ$3,$E26&gt;=AQ$3),"ac",""))</f>
        <v/>
      </c>
      <c r="AR26" s="2" t="str">
        <f t="shared" ref="AR26" si="621">IF($B25="","",IF(AND($D26&lt;=AR$3,$E26&gt;=AR$3),"ac",""))</f>
        <v/>
      </c>
      <c r="AS26" s="2" t="str">
        <f t="shared" ref="AS26" si="622">IF($B25="","",IF(AND($D26&lt;=AS$3,$E26&gt;=AS$3),"ac",""))</f>
        <v/>
      </c>
      <c r="AT26" s="2" t="str">
        <f t="shared" ref="AT26" si="623">IF($B25="","",IF(AND($D26&lt;=AT$3,$E26&gt;=AT$3),"ac",""))</f>
        <v/>
      </c>
      <c r="AU26" s="2" t="str">
        <f t="shared" ref="AU26" si="624">IF($B25="","",IF(AND($D26&lt;=AU$3,$E26&gt;=AU$3),"ac",""))</f>
        <v/>
      </c>
      <c r="AV26" s="2" t="str">
        <f t="shared" ref="AV26" si="625">IF($B25="","",IF(AND($D26&lt;=AV$3,$E26&gt;=AV$3),"ac",""))</f>
        <v/>
      </c>
      <c r="AW26" s="2" t="str">
        <f t="shared" ref="AW26" si="626">IF($B25="","",IF(AND($D26&lt;=AW$3,$E26&gt;=AW$3),"ac",""))</f>
        <v/>
      </c>
      <c r="AX26" s="2" t="str">
        <f t="shared" ref="AX26" si="627">IF($B25="","",IF(AND($D26&lt;=AX$3,$E26&gt;=AX$3),"ac",""))</f>
        <v/>
      </c>
      <c r="AY26" s="2" t="str">
        <f t="shared" ref="AY26" si="628">IF($B25="","",IF(AND($D26&lt;=AY$3,$E26&gt;=AY$3),"ac",""))</f>
        <v/>
      </c>
      <c r="AZ26" s="2" t="str">
        <f t="shared" ref="AZ26" si="629">IF($B25="","",IF(AND($D26&lt;=AZ$3,$E26&gt;=AZ$3),"ac",""))</f>
        <v/>
      </c>
      <c r="BA26" s="2" t="str">
        <f t="shared" ref="BA26" si="630">IF($B25="","",IF(AND($D26&lt;=BA$3,$E26&gt;=BA$3),"ac",""))</f>
        <v/>
      </c>
      <c r="BB26" s="2" t="str">
        <f t="shared" ref="BB26" si="631">IF($B25="","",IF(AND($D26&lt;=BB$3,$E26&gt;=BB$3),"ac",""))</f>
        <v/>
      </c>
      <c r="BC26" s="2" t="str">
        <f t="shared" ref="BC26" si="632">IF($B25="","",IF(AND($D26&lt;=BC$3,$E26&gt;=BC$3),"ac",""))</f>
        <v/>
      </c>
      <c r="BD26" s="2" t="str">
        <f t="shared" ref="BD26" si="633">IF($B25="","",IF(AND($D26&lt;=BD$3,$E26&gt;=BD$3),"ac",""))</f>
        <v/>
      </c>
      <c r="BE26" s="2" t="str">
        <f t="shared" ref="BE26" si="634">IF($B25="","",IF(AND($D26&lt;=BE$3,$E26&gt;=BE$3),"ac",""))</f>
        <v/>
      </c>
      <c r="BF26" s="2" t="str">
        <f t="shared" ref="BF26" si="635">IF($B25="","",IF(AND($D26&lt;=BF$3,$E26&gt;=BF$3),"ac",""))</f>
        <v/>
      </c>
      <c r="BG26" s="2" t="str">
        <f t="shared" ref="BG26" si="636">IF($B25="","",IF(AND($D26&lt;=BG$3,$E26&gt;=BG$3),"ac",""))</f>
        <v/>
      </c>
      <c r="BH26" s="2" t="str">
        <f t="shared" ref="BH26" si="637">IF($B25="","",IF(AND($D26&lt;=BH$3,$E26&gt;=BH$3),"ac",""))</f>
        <v/>
      </c>
      <c r="BI26" s="2" t="str">
        <f t="shared" ref="BI26" si="638">IF($B25="","",IF(AND($D26&lt;=BI$3,$E26&gt;=BI$3),"ac",""))</f>
        <v/>
      </c>
      <c r="BJ26" s="2" t="str">
        <f t="shared" ref="BJ26" si="639">IF($B25="","",IF(AND($D26&lt;=BJ$3,$E26&gt;=BJ$3),"ac",""))</f>
        <v/>
      </c>
      <c r="BK26" s="2" t="str">
        <f t="shared" ref="BK26" si="640">IF($B25="","",IF(AND($D26&lt;=BK$3,$E26&gt;=BK$3),"ac",""))</f>
        <v/>
      </c>
      <c r="BL26" s="2" t="str">
        <f t="shared" ref="BL26" si="641">IF($B25="","",IF(AND($D26&lt;=BL$3,$E26&gt;=BL$3),"ac",""))</f>
        <v/>
      </c>
      <c r="BM26" s="2" t="str">
        <f t="shared" ref="BM26" si="642">IF($B25="","",IF(AND($D26&lt;=BM$3,$E26&gt;=BM$3),"ac",""))</f>
        <v/>
      </c>
      <c r="BN26" s="2" t="str">
        <f t="shared" ref="BN26" si="643">IF($B25="","",IF(AND($D26&lt;=BN$3,$E26&gt;=BN$3),"ac",""))</f>
        <v/>
      </c>
      <c r="BO26" s="2" t="str">
        <f t="shared" ref="BO26" si="644">IF($B25="","",IF(AND($D26&lt;=BO$3,$E26&gt;=BO$3),"ac",""))</f>
        <v/>
      </c>
      <c r="BP26" s="2" t="str">
        <f t="shared" ref="BP26" si="645">IF($B25="","",IF(AND($D26&lt;=BP$3,$E26&gt;=BP$3),"ac",""))</f>
        <v/>
      </c>
      <c r="BQ26" s="2" t="str">
        <f t="shared" ref="BQ26" si="646">IF($B25="","",IF(AND($D26&lt;=BQ$3,$E26&gt;=BQ$3),"ac",""))</f>
        <v/>
      </c>
      <c r="BR26" s="2" t="str">
        <f t="shared" ref="BR26" si="647">IF($B25="","",IF(AND($D26&lt;=BR$3,$E26&gt;=BR$3),"ac",""))</f>
        <v/>
      </c>
      <c r="BS26" s="2" t="str">
        <f t="shared" ref="BS26" si="648">IF($B25="","",IF(AND($D26&lt;=BS$3,$E26&gt;=BS$3),"ac",""))</f>
        <v/>
      </c>
      <c r="BT26" s="2" t="str">
        <f t="shared" ref="BT26" si="649">IF($B25="","",IF(AND($D26&lt;=BT$3,$E26&gt;=BT$3),"ac",""))</f>
        <v/>
      </c>
      <c r="BU26" s="2" t="str">
        <f t="shared" ref="BU26" si="650">IF($B25="","",IF(AND($D26&lt;=BU$3,$E26&gt;=BU$3),"ac",""))</f>
        <v/>
      </c>
      <c r="BV26" s="2" t="str">
        <f t="shared" ref="BV26" si="651">IF($B25="","",IF(AND($D26&lt;=BV$3,$E26&gt;=BV$3),"ac",""))</f>
        <v/>
      </c>
      <c r="BW26" s="2" t="str">
        <f t="shared" ref="BW26" si="652">IF($B25="","",IF(AND($D26&lt;=BW$3,$E26&gt;=BW$3),"ac",""))</f>
        <v/>
      </c>
      <c r="BX26" s="2" t="str">
        <f t="shared" ref="BX26" si="653">IF($B25="","",IF(AND($D26&lt;=BX$3,$E26&gt;=BX$3),"ac",""))</f>
        <v/>
      </c>
      <c r="BY26" s="2" t="str">
        <f t="shared" ref="BY26" si="654">IF($B25="","",IF(AND($D26&lt;=BY$3,$E26&gt;=BY$3),"ac",""))</f>
        <v/>
      </c>
    </row>
    <row r="27" spans="1:77" x14ac:dyDescent="0.3">
      <c r="A27" s="15">
        <v>3.3</v>
      </c>
      <c r="B27" s="15" t="s">
        <v>33</v>
      </c>
      <c r="C27" s="15">
        <f t="shared" si="98"/>
        <v>3</v>
      </c>
      <c r="D27" s="4">
        <v>46162</v>
      </c>
      <c r="E27" s="4">
        <v>46164</v>
      </c>
      <c r="F27" s="13" t="s">
        <v>44</v>
      </c>
      <c r="G27" s="13">
        <v>3.2</v>
      </c>
      <c r="H27" s="2" t="str">
        <f>IF($B27="","",IF(AND($D27&lt;=H$3,$E27&gt;=H$3),"a",""))</f>
        <v/>
      </c>
      <c r="I27" s="2" t="str">
        <f t="shared" si="45"/>
        <v/>
      </c>
      <c r="J27" s="2" t="str">
        <f t="shared" si="45"/>
        <v/>
      </c>
      <c r="K27" s="2" t="str">
        <f t="shared" si="45"/>
        <v/>
      </c>
      <c r="L27" s="2" t="str">
        <f t="shared" si="45"/>
        <v/>
      </c>
      <c r="M27" s="2" t="str">
        <f t="shared" si="45"/>
        <v/>
      </c>
      <c r="N27" s="2" t="str">
        <f t="shared" si="45"/>
        <v/>
      </c>
      <c r="O27" s="2" t="str">
        <f t="shared" si="45"/>
        <v/>
      </c>
      <c r="P27" s="2" t="str">
        <f t="shared" si="45"/>
        <v/>
      </c>
      <c r="Q27" s="2" t="str">
        <f t="shared" ref="Q27:BY27" si="655">IF($B27="","",IF(AND($D27&lt;=Q$3,$E27&gt;=Q$3),"a",""))</f>
        <v/>
      </c>
      <c r="R27" s="2" t="str">
        <f t="shared" si="655"/>
        <v/>
      </c>
      <c r="S27" s="2" t="str">
        <f t="shared" si="655"/>
        <v/>
      </c>
      <c r="T27" s="2" t="str">
        <f t="shared" si="655"/>
        <v/>
      </c>
      <c r="U27" s="2" t="str">
        <f t="shared" si="655"/>
        <v/>
      </c>
      <c r="V27" s="2" t="str">
        <f t="shared" si="655"/>
        <v/>
      </c>
      <c r="W27" s="2" t="str">
        <f t="shared" si="655"/>
        <v/>
      </c>
      <c r="X27" s="2" t="str">
        <f t="shared" si="655"/>
        <v/>
      </c>
      <c r="Y27" s="2" t="str">
        <f t="shared" si="655"/>
        <v/>
      </c>
      <c r="Z27" s="2" t="str">
        <f t="shared" si="655"/>
        <v/>
      </c>
      <c r="AA27" s="2" t="str">
        <f t="shared" si="655"/>
        <v/>
      </c>
      <c r="AB27" s="2" t="str">
        <f t="shared" si="655"/>
        <v/>
      </c>
      <c r="AC27" s="2" t="str">
        <f t="shared" si="655"/>
        <v/>
      </c>
      <c r="AD27" s="2" t="str">
        <f t="shared" si="655"/>
        <v/>
      </c>
      <c r="AE27" s="2" t="str">
        <f t="shared" si="655"/>
        <v>a</v>
      </c>
      <c r="AF27" s="2" t="str">
        <f t="shared" si="655"/>
        <v>a</v>
      </c>
      <c r="AG27" s="2" t="str">
        <f t="shared" si="655"/>
        <v>a</v>
      </c>
      <c r="AH27" s="2" t="str">
        <f t="shared" si="655"/>
        <v/>
      </c>
      <c r="AI27" s="2" t="str">
        <f t="shared" si="655"/>
        <v/>
      </c>
      <c r="AJ27" s="2" t="str">
        <f t="shared" si="655"/>
        <v/>
      </c>
      <c r="AK27" s="2" t="str">
        <f t="shared" si="655"/>
        <v/>
      </c>
      <c r="AL27" s="2" t="str">
        <f t="shared" si="655"/>
        <v/>
      </c>
      <c r="AM27" s="2" t="str">
        <f t="shared" si="655"/>
        <v/>
      </c>
      <c r="AN27" s="2" t="str">
        <f t="shared" si="655"/>
        <v/>
      </c>
      <c r="AO27" s="2" t="str">
        <f t="shared" si="655"/>
        <v/>
      </c>
      <c r="AP27" s="2" t="str">
        <f t="shared" si="655"/>
        <v/>
      </c>
      <c r="AQ27" s="2" t="str">
        <f t="shared" si="655"/>
        <v/>
      </c>
      <c r="AR27" s="2" t="str">
        <f t="shared" si="655"/>
        <v/>
      </c>
      <c r="AS27" s="2" t="str">
        <f t="shared" si="655"/>
        <v/>
      </c>
      <c r="AT27" s="2" t="str">
        <f t="shared" si="655"/>
        <v/>
      </c>
      <c r="AU27" s="2" t="str">
        <f t="shared" si="655"/>
        <v/>
      </c>
      <c r="AV27" s="2" t="str">
        <f t="shared" si="655"/>
        <v/>
      </c>
      <c r="AW27" s="2" t="str">
        <f t="shared" si="655"/>
        <v/>
      </c>
      <c r="AX27" s="2" t="str">
        <f t="shared" si="655"/>
        <v/>
      </c>
      <c r="AY27" s="2" t="str">
        <f t="shared" si="655"/>
        <v/>
      </c>
      <c r="AZ27" s="2" t="str">
        <f t="shared" si="655"/>
        <v/>
      </c>
      <c r="BA27" s="2" t="str">
        <f t="shared" si="655"/>
        <v/>
      </c>
      <c r="BB27" s="2" t="str">
        <f t="shared" si="655"/>
        <v/>
      </c>
      <c r="BC27" s="2" t="str">
        <f t="shared" si="655"/>
        <v/>
      </c>
      <c r="BD27" s="2" t="str">
        <f t="shared" si="655"/>
        <v/>
      </c>
      <c r="BE27" s="2" t="str">
        <f t="shared" si="655"/>
        <v/>
      </c>
      <c r="BF27" s="2" t="str">
        <f t="shared" si="655"/>
        <v/>
      </c>
      <c r="BG27" s="2" t="str">
        <f t="shared" si="655"/>
        <v/>
      </c>
      <c r="BH27" s="2" t="str">
        <f t="shared" si="655"/>
        <v/>
      </c>
      <c r="BI27" s="2" t="str">
        <f t="shared" si="655"/>
        <v/>
      </c>
      <c r="BJ27" s="2" t="str">
        <f t="shared" si="655"/>
        <v/>
      </c>
      <c r="BK27" s="2" t="str">
        <f t="shared" si="655"/>
        <v/>
      </c>
      <c r="BL27" s="2" t="str">
        <f t="shared" si="655"/>
        <v/>
      </c>
      <c r="BM27" s="2" t="str">
        <f t="shared" si="655"/>
        <v/>
      </c>
      <c r="BN27" s="2" t="str">
        <f t="shared" si="655"/>
        <v/>
      </c>
      <c r="BO27" s="2" t="str">
        <f t="shared" si="655"/>
        <v/>
      </c>
      <c r="BP27" s="2" t="str">
        <f t="shared" si="655"/>
        <v/>
      </c>
      <c r="BQ27" s="2" t="str">
        <f t="shared" si="655"/>
        <v/>
      </c>
      <c r="BR27" s="2" t="str">
        <f t="shared" si="655"/>
        <v/>
      </c>
      <c r="BS27" s="2" t="str">
        <f t="shared" si="655"/>
        <v/>
      </c>
      <c r="BT27" s="2" t="str">
        <f t="shared" si="655"/>
        <v/>
      </c>
      <c r="BU27" s="2" t="str">
        <f t="shared" si="655"/>
        <v/>
      </c>
      <c r="BV27" s="2" t="str">
        <f t="shared" si="655"/>
        <v/>
      </c>
      <c r="BW27" s="2" t="str">
        <f t="shared" si="655"/>
        <v/>
      </c>
      <c r="BX27" s="2" t="str">
        <f t="shared" si="655"/>
        <v/>
      </c>
      <c r="BY27" s="2" t="str">
        <f t="shared" si="655"/>
        <v/>
      </c>
    </row>
    <row r="28" spans="1:77" x14ac:dyDescent="0.3">
      <c r="A28" s="15"/>
      <c r="B28" s="15"/>
      <c r="C28" s="15"/>
      <c r="D28" s="4">
        <v>46162</v>
      </c>
      <c r="E28" s="4">
        <v>46164</v>
      </c>
      <c r="F28" s="13"/>
      <c r="G28" s="13"/>
      <c r="H28" s="2" t="str">
        <f>IF($B27="","",IF(AND($D28&lt;=H$3,$E28&gt;=H$3),"ac",""))</f>
        <v/>
      </c>
      <c r="I28" s="2" t="str">
        <f t="shared" ref="I28" si="656">IF($B27="","",IF(AND($D28&lt;=I$3,$E28&gt;=I$3),"ac",""))</f>
        <v/>
      </c>
      <c r="J28" s="2" t="str">
        <f t="shared" ref="J28" si="657">IF($B27="","",IF(AND($D28&lt;=J$3,$E28&gt;=J$3),"ac",""))</f>
        <v/>
      </c>
      <c r="K28" s="2" t="str">
        <f t="shared" ref="K28" si="658">IF($B27="","",IF(AND($D28&lt;=K$3,$E28&gt;=K$3),"ac",""))</f>
        <v/>
      </c>
      <c r="L28" s="2" t="str">
        <f t="shared" ref="L28" si="659">IF($B27="","",IF(AND($D28&lt;=L$3,$E28&gt;=L$3),"ac",""))</f>
        <v/>
      </c>
      <c r="M28" s="2" t="str">
        <f t="shared" ref="M28" si="660">IF($B27="","",IF(AND($D28&lt;=M$3,$E28&gt;=M$3),"ac",""))</f>
        <v/>
      </c>
      <c r="N28" s="2" t="str">
        <f t="shared" ref="N28" si="661">IF($B27="","",IF(AND($D28&lt;=N$3,$E28&gt;=N$3),"ac",""))</f>
        <v/>
      </c>
      <c r="O28" s="2" t="str">
        <f t="shared" ref="O28" si="662">IF($B27="","",IF(AND($D28&lt;=O$3,$E28&gt;=O$3),"ac",""))</f>
        <v/>
      </c>
      <c r="P28" s="2" t="str">
        <f t="shared" ref="P28" si="663">IF($B27="","",IF(AND($D28&lt;=P$3,$E28&gt;=P$3),"ac",""))</f>
        <v/>
      </c>
      <c r="Q28" s="2" t="str">
        <f t="shared" ref="Q28" si="664">IF($B27="","",IF(AND($D28&lt;=Q$3,$E28&gt;=Q$3),"ac",""))</f>
        <v/>
      </c>
      <c r="R28" s="2" t="str">
        <f t="shared" ref="R28" si="665">IF($B27="","",IF(AND($D28&lt;=R$3,$E28&gt;=R$3),"ac",""))</f>
        <v/>
      </c>
      <c r="S28" s="2" t="str">
        <f t="shared" ref="S28" si="666">IF($B27="","",IF(AND($D28&lt;=S$3,$E28&gt;=S$3),"ac",""))</f>
        <v/>
      </c>
      <c r="T28" s="2" t="str">
        <f t="shared" ref="T28" si="667">IF($B27="","",IF(AND($D28&lt;=T$3,$E28&gt;=T$3),"ac",""))</f>
        <v/>
      </c>
      <c r="U28" s="2" t="str">
        <f t="shared" ref="U28" si="668">IF($B27="","",IF(AND($D28&lt;=U$3,$E28&gt;=U$3),"ac",""))</f>
        <v/>
      </c>
      <c r="V28" s="2" t="str">
        <f t="shared" ref="V28" si="669">IF($B27="","",IF(AND($D28&lt;=V$3,$E28&gt;=V$3),"ac",""))</f>
        <v/>
      </c>
      <c r="W28" s="2" t="str">
        <f t="shared" ref="W28" si="670">IF($B27="","",IF(AND($D28&lt;=W$3,$E28&gt;=W$3),"ac",""))</f>
        <v/>
      </c>
      <c r="X28" s="2" t="str">
        <f t="shared" ref="X28" si="671">IF($B27="","",IF(AND($D28&lt;=X$3,$E28&gt;=X$3),"ac",""))</f>
        <v/>
      </c>
      <c r="Y28" s="2" t="str">
        <f t="shared" ref="Y28" si="672">IF($B27="","",IF(AND($D28&lt;=Y$3,$E28&gt;=Y$3),"ac",""))</f>
        <v/>
      </c>
      <c r="Z28" s="2" t="str">
        <f t="shared" ref="Z28" si="673">IF($B27="","",IF(AND($D28&lt;=Z$3,$E28&gt;=Z$3),"ac",""))</f>
        <v/>
      </c>
      <c r="AA28" s="2" t="str">
        <f t="shared" ref="AA28" si="674">IF($B27="","",IF(AND($D28&lt;=AA$3,$E28&gt;=AA$3),"ac",""))</f>
        <v/>
      </c>
      <c r="AB28" s="2" t="str">
        <f t="shared" ref="AB28" si="675">IF($B27="","",IF(AND($D28&lt;=AB$3,$E28&gt;=AB$3),"ac",""))</f>
        <v/>
      </c>
      <c r="AC28" s="2" t="str">
        <f t="shared" ref="AC28" si="676">IF($B27="","",IF(AND($D28&lt;=AC$3,$E28&gt;=AC$3),"ac",""))</f>
        <v/>
      </c>
      <c r="AD28" s="2" t="str">
        <f t="shared" ref="AD28" si="677">IF($B27="","",IF(AND($D28&lt;=AD$3,$E28&gt;=AD$3),"ac",""))</f>
        <v/>
      </c>
      <c r="AE28" s="2" t="str">
        <f t="shared" ref="AE28" si="678">IF($B27="","",IF(AND($D28&lt;=AE$3,$E28&gt;=AE$3),"ac",""))</f>
        <v>ac</v>
      </c>
      <c r="AF28" s="2" t="str">
        <f t="shared" ref="AF28" si="679">IF($B27="","",IF(AND($D28&lt;=AF$3,$E28&gt;=AF$3),"ac",""))</f>
        <v>ac</v>
      </c>
      <c r="AG28" s="2" t="str">
        <f t="shared" ref="AG28" si="680">IF($B27="","",IF(AND($D28&lt;=AG$3,$E28&gt;=AG$3),"ac",""))</f>
        <v>ac</v>
      </c>
      <c r="AH28" s="2" t="str">
        <f t="shared" ref="AH28" si="681">IF($B27="","",IF(AND($D28&lt;=AH$3,$E28&gt;=AH$3),"ac",""))</f>
        <v/>
      </c>
      <c r="AI28" s="2" t="str">
        <f t="shared" ref="AI28" si="682">IF($B27="","",IF(AND($D28&lt;=AI$3,$E28&gt;=AI$3),"ac",""))</f>
        <v/>
      </c>
      <c r="AJ28" s="2" t="str">
        <f t="shared" ref="AJ28" si="683">IF($B27="","",IF(AND($D28&lt;=AJ$3,$E28&gt;=AJ$3),"ac",""))</f>
        <v/>
      </c>
      <c r="AK28" s="2" t="str">
        <f t="shared" ref="AK28" si="684">IF($B27="","",IF(AND($D28&lt;=AK$3,$E28&gt;=AK$3),"ac",""))</f>
        <v/>
      </c>
      <c r="AL28" s="2" t="str">
        <f t="shared" ref="AL28" si="685">IF($B27="","",IF(AND($D28&lt;=AL$3,$E28&gt;=AL$3),"ac",""))</f>
        <v/>
      </c>
      <c r="AM28" s="2" t="str">
        <f t="shared" ref="AM28" si="686">IF($B27="","",IF(AND($D28&lt;=AM$3,$E28&gt;=AM$3),"ac",""))</f>
        <v/>
      </c>
      <c r="AN28" s="2" t="str">
        <f t="shared" ref="AN28" si="687">IF($B27="","",IF(AND($D28&lt;=AN$3,$E28&gt;=AN$3),"ac",""))</f>
        <v/>
      </c>
      <c r="AO28" s="2" t="str">
        <f t="shared" ref="AO28" si="688">IF($B27="","",IF(AND($D28&lt;=AO$3,$E28&gt;=AO$3),"ac",""))</f>
        <v/>
      </c>
      <c r="AP28" s="2" t="str">
        <f t="shared" ref="AP28" si="689">IF($B27="","",IF(AND($D28&lt;=AP$3,$E28&gt;=AP$3),"ac",""))</f>
        <v/>
      </c>
      <c r="AQ28" s="2" t="str">
        <f t="shared" ref="AQ28" si="690">IF($B27="","",IF(AND($D28&lt;=AQ$3,$E28&gt;=AQ$3),"ac",""))</f>
        <v/>
      </c>
      <c r="AR28" s="2" t="str">
        <f t="shared" ref="AR28" si="691">IF($B27="","",IF(AND($D28&lt;=AR$3,$E28&gt;=AR$3),"ac",""))</f>
        <v/>
      </c>
      <c r="AS28" s="2" t="str">
        <f t="shared" ref="AS28" si="692">IF($B27="","",IF(AND($D28&lt;=AS$3,$E28&gt;=AS$3),"ac",""))</f>
        <v/>
      </c>
      <c r="AT28" s="2" t="str">
        <f t="shared" ref="AT28:AW28" si="693">IF($B27="","",IF(AND($D28&lt;=AT$3,$E28&gt;=AT$3),"ac",""))</f>
        <v/>
      </c>
      <c r="AU28" s="2" t="str">
        <f t="shared" si="693"/>
        <v/>
      </c>
      <c r="AV28" s="2" t="str">
        <f t="shared" si="693"/>
        <v/>
      </c>
      <c r="AW28" s="2" t="str">
        <f t="shared" si="693"/>
        <v/>
      </c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</row>
    <row r="29" spans="1:77" x14ac:dyDescent="0.3">
      <c r="A29" s="15">
        <v>3.4</v>
      </c>
      <c r="B29" s="15" t="s">
        <v>34</v>
      </c>
      <c r="C29" s="15">
        <f t="shared" si="98"/>
        <v>3</v>
      </c>
      <c r="D29" s="4">
        <v>46165</v>
      </c>
      <c r="E29" s="4">
        <v>46167</v>
      </c>
      <c r="F29" s="13" t="s">
        <v>44</v>
      </c>
      <c r="G29" s="13">
        <v>3.3</v>
      </c>
      <c r="H29" s="2" t="str">
        <f>IF($B29="","",IF(AND($D29&lt;=H$3,$E29&gt;=H$3),"a",""))</f>
        <v/>
      </c>
      <c r="I29" s="2" t="str">
        <f t="shared" si="45"/>
        <v/>
      </c>
      <c r="J29" s="2" t="str">
        <f t="shared" si="45"/>
        <v/>
      </c>
      <c r="K29" s="2" t="str">
        <f t="shared" si="45"/>
        <v/>
      </c>
      <c r="L29" s="2" t="str">
        <f t="shared" si="45"/>
        <v/>
      </c>
      <c r="M29" s="2" t="str">
        <f t="shared" si="45"/>
        <v/>
      </c>
      <c r="N29" s="2" t="str">
        <f t="shared" si="45"/>
        <v/>
      </c>
      <c r="O29" s="2" t="str">
        <f t="shared" si="45"/>
        <v/>
      </c>
      <c r="P29" s="2" t="str">
        <f t="shared" si="45"/>
        <v/>
      </c>
      <c r="Q29" s="2" t="str">
        <f t="shared" ref="Q29:BY29" si="694">IF($B29="","",IF(AND($D29&lt;=Q$3,$E29&gt;=Q$3),"a",""))</f>
        <v/>
      </c>
      <c r="R29" s="2" t="str">
        <f t="shared" si="694"/>
        <v/>
      </c>
      <c r="S29" s="2" t="str">
        <f t="shared" si="694"/>
        <v/>
      </c>
      <c r="T29" s="2" t="str">
        <f t="shared" si="694"/>
        <v/>
      </c>
      <c r="U29" s="2" t="str">
        <f t="shared" si="694"/>
        <v/>
      </c>
      <c r="V29" s="2" t="str">
        <f t="shared" si="694"/>
        <v/>
      </c>
      <c r="W29" s="2" t="str">
        <f t="shared" si="694"/>
        <v/>
      </c>
      <c r="X29" s="2" t="str">
        <f t="shared" si="694"/>
        <v/>
      </c>
      <c r="Y29" s="2" t="str">
        <f t="shared" si="694"/>
        <v/>
      </c>
      <c r="Z29" s="2" t="str">
        <f t="shared" si="694"/>
        <v/>
      </c>
      <c r="AA29" s="2" t="str">
        <f t="shared" si="694"/>
        <v/>
      </c>
      <c r="AB29" s="2" t="str">
        <f t="shared" si="694"/>
        <v/>
      </c>
      <c r="AC29" s="2" t="str">
        <f t="shared" si="694"/>
        <v/>
      </c>
      <c r="AD29" s="2" t="str">
        <f t="shared" si="694"/>
        <v/>
      </c>
      <c r="AE29" s="2" t="str">
        <f t="shared" si="694"/>
        <v/>
      </c>
      <c r="AF29" s="2" t="str">
        <f t="shared" si="694"/>
        <v/>
      </c>
      <c r="AG29" s="2" t="str">
        <f t="shared" si="694"/>
        <v/>
      </c>
      <c r="AH29" s="2" t="str">
        <f t="shared" si="694"/>
        <v>a</v>
      </c>
      <c r="AI29" s="2" t="str">
        <f t="shared" si="694"/>
        <v>a</v>
      </c>
      <c r="AJ29" s="2" t="str">
        <f t="shared" si="694"/>
        <v>a</v>
      </c>
      <c r="AK29" s="2" t="str">
        <f t="shared" si="694"/>
        <v/>
      </c>
      <c r="AL29" s="2" t="str">
        <f t="shared" si="694"/>
        <v/>
      </c>
      <c r="AM29" s="2" t="str">
        <f t="shared" si="694"/>
        <v/>
      </c>
      <c r="AN29" s="2" t="str">
        <f t="shared" si="694"/>
        <v/>
      </c>
      <c r="AO29" s="2" t="str">
        <f t="shared" si="694"/>
        <v/>
      </c>
      <c r="AP29" s="2" t="str">
        <f t="shared" si="694"/>
        <v/>
      </c>
      <c r="AQ29" s="2" t="str">
        <f t="shared" si="694"/>
        <v/>
      </c>
      <c r="AR29" s="2" t="str">
        <f t="shared" si="694"/>
        <v/>
      </c>
      <c r="AS29" s="2" t="str">
        <f t="shared" si="694"/>
        <v/>
      </c>
      <c r="AT29" s="2" t="str">
        <f t="shared" si="694"/>
        <v/>
      </c>
      <c r="AU29" s="2" t="str">
        <f t="shared" si="694"/>
        <v/>
      </c>
      <c r="AV29" s="2" t="str">
        <f t="shared" si="694"/>
        <v/>
      </c>
      <c r="AW29" s="2" t="str">
        <f t="shared" si="694"/>
        <v/>
      </c>
      <c r="AX29" s="2" t="str">
        <f t="shared" si="694"/>
        <v/>
      </c>
      <c r="AY29" s="2" t="str">
        <f t="shared" si="694"/>
        <v/>
      </c>
      <c r="AZ29" s="2" t="str">
        <f t="shared" si="694"/>
        <v/>
      </c>
      <c r="BA29" s="2" t="str">
        <f t="shared" si="694"/>
        <v/>
      </c>
      <c r="BB29" s="2" t="str">
        <f t="shared" si="694"/>
        <v/>
      </c>
      <c r="BC29" s="2" t="str">
        <f t="shared" si="694"/>
        <v/>
      </c>
      <c r="BD29" s="2" t="str">
        <f t="shared" si="694"/>
        <v/>
      </c>
      <c r="BE29" s="2" t="str">
        <f t="shared" si="694"/>
        <v/>
      </c>
      <c r="BF29" s="2" t="str">
        <f t="shared" si="694"/>
        <v/>
      </c>
      <c r="BG29" s="2" t="str">
        <f t="shared" si="694"/>
        <v/>
      </c>
      <c r="BH29" s="2" t="str">
        <f t="shared" si="694"/>
        <v/>
      </c>
      <c r="BI29" s="2" t="str">
        <f t="shared" si="694"/>
        <v/>
      </c>
      <c r="BJ29" s="2" t="str">
        <f t="shared" si="694"/>
        <v/>
      </c>
      <c r="BK29" s="2" t="str">
        <f t="shared" si="694"/>
        <v/>
      </c>
      <c r="BL29" s="2" t="str">
        <f t="shared" si="694"/>
        <v/>
      </c>
      <c r="BM29" s="2" t="str">
        <f t="shared" si="694"/>
        <v/>
      </c>
      <c r="BN29" s="2" t="str">
        <f t="shared" si="694"/>
        <v/>
      </c>
      <c r="BO29" s="2" t="str">
        <f t="shared" si="694"/>
        <v/>
      </c>
      <c r="BP29" s="2" t="str">
        <f t="shared" si="694"/>
        <v/>
      </c>
      <c r="BQ29" s="2" t="str">
        <f t="shared" si="694"/>
        <v/>
      </c>
      <c r="BR29" s="2" t="str">
        <f t="shared" si="694"/>
        <v/>
      </c>
      <c r="BS29" s="2" t="str">
        <f t="shared" si="694"/>
        <v/>
      </c>
      <c r="BT29" s="2" t="str">
        <f t="shared" si="694"/>
        <v/>
      </c>
      <c r="BU29" s="2" t="str">
        <f t="shared" si="694"/>
        <v/>
      </c>
      <c r="BV29" s="2" t="str">
        <f t="shared" si="694"/>
        <v/>
      </c>
      <c r="BW29" s="2" t="str">
        <f t="shared" si="694"/>
        <v/>
      </c>
      <c r="BX29" s="2" t="str">
        <f t="shared" si="694"/>
        <v/>
      </c>
      <c r="BY29" s="2" t="str">
        <f t="shared" si="694"/>
        <v/>
      </c>
    </row>
    <row r="30" spans="1:77" x14ac:dyDescent="0.3">
      <c r="A30" s="15"/>
      <c r="B30" s="15"/>
      <c r="C30" s="15"/>
      <c r="D30" s="4">
        <v>46165</v>
      </c>
      <c r="E30" s="4">
        <v>46167</v>
      </c>
      <c r="F30" s="13"/>
      <c r="G30" s="13"/>
      <c r="H30" s="2" t="str">
        <f>IF($B29="","",IF(AND($D30&lt;=H$3,$E30&gt;=H$3),"ac",""))</f>
        <v/>
      </c>
      <c r="I30" s="2" t="str">
        <f t="shared" ref="I30" si="695">IF($B29="","",IF(AND($D30&lt;=I$3,$E30&gt;=I$3),"ac",""))</f>
        <v/>
      </c>
      <c r="J30" s="2" t="str">
        <f t="shared" ref="J30" si="696">IF($B29="","",IF(AND($D30&lt;=J$3,$E30&gt;=J$3),"ac",""))</f>
        <v/>
      </c>
      <c r="K30" s="2" t="str">
        <f t="shared" ref="K30" si="697">IF($B29="","",IF(AND($D30&lt;=K$3,$E30&gt;=K$3),"ac",""))</f>
        <v/>
      </c>
      <c r="L30" s="2" t="str">
        <f t="shared" ref="L30" si="698">IF($B29="","",IF(AND($D30&lt;=L$3,$E30&gt;=L$3),"ac",""))</f>
        <v/>
      </c>
      <c r="M30" s="2" t="str">
        <f t="shared" ref="M30" si="699">IF($B29="","",IF(AND($D30&lt;=M$3,$E30&gt;=M$3),"ac",""))</f>
        <v/>
      </c>
      <c r="N30" s="2" t="str">
        <f t="shared" ref="N30" si="700">IF($B29="","",IF(AND($D30&lt;=N$3,$E30&gt;=N$3),"ac",""))</f>
        <v/>
      </c>
      <c r="O30" s="2" t="str">
        <f t="shared" ref="O30" si="701">IF($B29="","",IF(AND($D30&lt;=O$3,$E30&gt;=O$3),"ac",""))</f>
        <v/>
      </c>
      <c r="P30" s="2" t="str">
        <f t="shared" ref="P30" si="702">IF($B29="","",IF(AND($D30&lt;=P$3,$E30&gt;=P$3),"ac",""))</f>
        <v/>
      </c>
      <c r="Q30" s="2" t="str">
        <f t="shared" ref="Q30" si="703">IF($B29="","",IF(AND($D30&lt;=Q$3,$E30&gt;=Q$3),"ac",""))</f>
        <v/>
      </c>
      <c r="R30" s="2" t="str">
        <f t="shared" ref="R30" si="704">IF($B29="","",IF(AND($D30&lt;=R$3,$E30&gt;=R$3),"ac",""))</f>
        <v/>
      </c>
      <c r="S30" s="2" t="str">
        <f t="shared" ref="S30" si="705">IF($B29="","",IF(AND($D30&lt;=S$3,$E30&gt;=S$3),"ac",""))</f>
        <v/>
      </c>
      <c r="T30" s="2" t="str">
        <f t="shared" ref="T30" si="706">IF($B29="","",IF(AND($D30&lt;=T$3,$E30&gt;=T$3),"ac",""))</f>
        <v/>
      </c>
      <c r="U30" s="2" t="str">
        <f t="shared" ref="U30" si="707">IF($B29="","",IF(AND($D30&lt;=U$3,$E30&gt;=U$3),"ac",""))</f>
        <v/>
      </c>
      <c r="V30" s="2" t="str">
        <f t="shared" ref="V30" si="708">IF($B29="","",IF(AND($D30&lt;=V$3,$E30&gt;=V$3),"ac",""))</f>
        <v/>
      </c>
      <c r="W30" s="2" t="str">
        <f t="shared" ref="W30" si="709">IF($B29="","",IF(AND($D30&lt;=W$3,$E30&gt;=W$3),"ac",""))</f>
        <v/>
      </c>
      <c r="X30" s="2" t="str">
        <f t="shared" ref="X30" si="710">IF($B29="","",IF(AND($D30&lt;=X$3,$E30&gt;=X$3),"ac",""))</f>
        <v/>
      </c>
      <c r="Y30" s="2" t="str">
        <f t="shared" ref="Y30" si="711">IF($B29="","",IF(AND($D30&lt;=Y$3,$E30&gt;=Y$3),"ac",""))</f>
        <v/>
      </c>
      <c r="Z30" s="2" t="str">
        <f t="shared" ref="Z30" si="712">IF($B29="","",IF(AND($D30&lt;=Z$3,$E30&gt;=Z$3),"ac",""))</f>
        <v/>
      </c>
      <c r="AA30" s="2" t="str">
        <f t="shared" ref="AA30" si="713">IF($B29="","",IF(AND($D30&lt;=AA$3,$E30&gt;=AA$3),"ac",""))</f>
        <v/>
      </c>
      <c r="AB30" s="2" t="str">
        <f t="shared" ref="AB30" si="714">IF($B29="","",IF(AND($D30&lt;=AB$3,$E30&gt;=AB$3),"ac",""))</f>
        <v/>
      </c>
      <c r="AC30" s="2" t="str">
        <f t="shared" ref="AC30" si="715">IF($B29="","",IF(AND($D30&lt;=AC$3,$E30&gt;=AC$3),"ac",""))</f>
        <v/>
      </c>
      <c r="AD30" s="2" t="str">
        <f t="shared" ref="AD30" si="716">IF($B29="","",IF(AND($D30&lt;=AD$3,$E30&gt;=AD$3),"ac",""))</f>
        <v/>
      </c>
      <c r="AE30" s="2" t="str">
        <f t="shared" ref="AE30" si="717">IF($B29="","",IF(AND($D30&lt;=AE$3,$E30&gt;=AE$3),"ac",""))</f>
        <v/>
      </c>
      <c r="AF30" s="2" t="str">
        <f t="shared" ref="AF30" si="718">IF($B29="","",IF(AND($D30&lt;=AF$3,$E30&gt;=AF$3),"ac",""))</f>
        <v/>
      </c>
      <c r="AG30" s="2" t="str">
        <f t="shared" ref="AG30" si="719">IF($B29="","",IF(AND($D30&lt;=AG$3,$E30&gt;=AG$3),"ac",""))</f>
        <v/>
      </c>
      <c r="AH30" s="2" t="str">
        <f t="shared" ref="AH30" si="720">IF($B29="","",IF(AND($D30&lt;=AH$3,$E30&gt;=AH$3),"ac",""))</f>
        <v>ac</v>
      </c>
      <c r="AI30" s="2" t="str">
        <f t="shared" ref="AI30" si="721">IF($B29="","",IF(AND($D30&lt;=AI$3,$E30&gt;=AI$3),"ac",""))</f>
        <v>ac</v>
      </c>
      <c r="AJ30" s="2" t="str">
        <f t="shared" ref="AJ30" si="722">IF($B29="","",IF(AND($D30&lt;=AJ$3,$E30&gt;=AJ$3),"ac",""))</f>
        <v>ac</v>
      </c>
      <c r="AK30" s="2" t="str">
        <f t="shared" ref="AK30" si="723">IF($B29="","",IF(AND($D30&lt;=AK$3,$E30&gt;=AK$3),"ac",""))</f>
        <v/>
      </c>
      <c r="AL30" s="2" t="str">
        <f t="shared" ref="AL30" si="724">IF($B29="","",IF(AND($D30&lt;=AL$3,$E30&gt;=AL$3),"ac",""))</f>
        <v/>
      </c>
      <c r="AM30" s="2" t="str">
        <f t="shared" ref="AM30" si="725">IF($B29="","",IF(AND($D30&lt;=AM$3,$E30&gt;=AM$3),"ac",""))</f>
        <v/>
      </c>
      <c r="AN30" s="2" t="str">
        <f t="shared" ref="AN30" si="726">IF($B29="","",IF(AND($D30&lt;=AN$3,$E30&gt;=AN$3),"ac",""))</f>
        <v/>
      </c>
      <c r="AO30" s="2" t="str">
        <f t="shared" ref="AO30" si="727">IF($B29="","",IF(AND($D30&lt;=AO$3,$E30&gt;=AO$3),"ac",""))</f>
        <v/>
      </c>
      <c r="AP30" s="2" t="str">
        <f t="shared" ref="AP30" si="728">IF($B29="","",IF(AND($D30&lt;=AP$3,$E30&gt;=AP$3),"ac",""))</f>
        <v/>
      </c>
      <c r="AQ30" s="2" t="str">
        <f t="shared" ref="AQ30" si="729">IF($B29="","",IF(AND($D30&lt;=AQ$3,$E30&gt;=AQ$3),"ac",""))</f>
        <v/>
      </c>
      <c r="AR30" s="2" t="str">
        <f t="shared" ref="AR30" si="730">IF($B29="","",IF(AND($D30&lt;=AR$3,$E30&gt;=AR$3),"ac",""))</f>
        <v/>
      </c>
      <c r="AS30" s="2" t="str">
        <f t="shared" ref="AS30" si="731">IF($B29="","",IF(AND($D30&lt;=AS$3,$E30&gt;=AS$3),"ac",""))</f>
        <v/>
      </c>
      <c r="AT30" s="2" t="str">
        <f t="shared" ref="AT30:AW30" si="732">IF($B29="","",IF(AND($D30&lt;=AT$3,$E30&gt;=AT$3),"ac",""))</f>
        <v/>
      </c>
      <c r="AU30" s="2" t="str">
        <f t="shared" si="732"/>
        <v/>
      </c>
      <c r="AV30" s="2" t="str">
        <f t="shared" si="732"/>
        <v/>
      </c>
      <c r="AW30" s="2" t="str">
        <f t="shared" si="732"/>
        <v/>
      </c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</row>
    <row r="31" spans="1:77" x14ac:dyDescent="0.3">
      <c r="A31" s="15">
        <v>3.5</v>
      </c>
      <c r="B31" s="15" t="s">
        <v>19</v>
      </c>
      <c r="C31" s="15">
        <f t="shared" si="98"/>
        <v>2</v>
      </c>
      <c r="D31" s="4">
        <v>46168</v>
      </c>
      <c r="E31" s="4">
        <v>46169</v>
      </c>
      <c r="F31" s="13" t="s">
        <v>44</v>
      </c>
      <c r="G31" s="13">
        <v>3.4</v>
      </c>
      <c r="H31" s="2" t="str">
        <f>IF($B31="","",IF(AND($D31&lt;=H$3,$E31&gt;=H$3),"a",""))</f>
        <v/>
      </c>
      <c r="I31" s="2" t="str">
        <f t="shared" si="45"/>
        <v/>
      </c>
      <c r="J31" s="2" t="str">
        <f t="shared" si="45"/>
        <v/>
      </c>
      <c r="K31" s="2" t="str">
        <f t="shared" si="45"/>
        <v/>
      </c>
      <c r="L31" s="2" t="str">
        <f t="shared" si="45"/>
        <v/>
      </c>
      <c r="M31" s="2" t="str">
        <f t="shared" si="45"/>
        <v/>
      </c>
      <c r="N31" s="2" t="str">
        <f t="shared" si="45"/>
        <v/>
      </c>
      <c r="O31" s="2" t="str">
        <f t="shared" ref="O31:AP31" si="733">IF($B31="","",IF(AND($D31&lt;=O$3,$E31&gt;=O$3),"a",""))</f>
        <v/>
      </c>
      <c r="P31" s="2" t="str">
        <f t="shared" si="733"/>
        <v/>
      </c>
      <c r="Q31" s="2" t="str">
        <f t="shared" si="733"/>
        <v/>
      </c>
      <c r="R31" s="2" t="str">
        <f t="shared" si="733"/>
        <v/>
      </c>
      <c r="S31" s="2" t="str">
        <f t="shared" si="733"/>
        <v/>
      </c>
      <c r="T31" s="2" t="str">
        <f t="shared" si="733"/>
        <v/>
      </c>
      <c r="U31" s="2" t="str">
        <f t="shared" si="733"/>
        <v/>
      </c>
      <c r="V31" s="2" t="str">
        <f t="shared" si="733"/>
        <v/>
      </c>
      <c r="W31" s="2" t="str">
        <f t="shared" si="733"/>
        <v/>
      </c>
      <c r="X31" s="2" t="str">
        <f t="shared" si="733"/>
        <v/>
      </c>
      <c r="Y31" s="2" t="str">
        <f t="shared" si="733"/>
        <v/>
      </c>
      <c r="Z31" s="2" t="str">
        <f t="shared" si="733"/>
        <v/>
      </c>
      <c r="AA31" s="2" t="str">
        <f t="shared" si="733"/>
        <v/>
      </c>
      <c r="AB31" s="2" t="str">
        <f t="shared" si="733"/>
        <v/>
      </c>
      <c r="AC31" s="2" t="str">
        <f t="shared" si="733"/>
        <v/>
      </c>
      <c r="AD31" s="2" t="str">
        <f t="shared" si="733"/>
        <v/>
      </c>
      <c r="AE31" s="2" t="str">
        <f t="shared" si="733"/>
        <v/>
      </c>
      <c r="AF31" s="2" t="str">
        <f t="shared" si="733"/>
        <v/>
      </c>
      <c r="AG31" s="2" t="str">
        <f t="shared" si="733"/>
        <v/>
      </c>
      <c r="AH31" s="2" t="str">
        <f t="shared" si="733"/>
        <v/>
      </c>
      <c r="AI31" s="2" t="str">
        <f t="shared" si="733"/>
        <v/>
      </c>
      <c r="AJ31" s="2" t="str">
        <f t="shared" si="733"/>
        <v/>
      </c>
      <c r="AK31" s="2" t="str">
        <f t="shared" si="733"/>
        <v>a</v>
      </c>
      <c r="AL31" s="2" t="str">
        <f t="shared" si="733"/>
        <v>a</v>
      </c>
      <c r="AM31" s="2" t="str">
        <f t="shared" si="733"/>
        <v/>
      </c>
      <c r="AN31" s="2" t="str">
        <f t="shared" si="733"/>
        <v/>
      </c>
      <c r="AO31" s="2" t="str">
        <f t="shared" si="733"/>
        <v/>
      </c>
      <c r="AP31" s="2" t="str">
        <f t="shared" si="733"/>
        <v/>
      </c>
      <c r="AQ31" s="2" t="str">
        <f t="shared" ref="I31:AW31" si="734">IF($B31="","",IF(AND($D31&lt;=AQ$3,$E31&gt;=AQ$3),"a",""))</f>
        <v/>
      </c>
      <c r="AR31" s="2" t="str">
        <f t="shared" si="734"/>
        <v/>
      </c>
      <c r="AS31" s="2" t="str">
        <f t="shared" si="734"/>
        <v/>
      </c>
      <c r="AT31" s="2" t="str">
        <f t="shared" si="734"/>
        <v/>
      </c>
      <c r="AU31" s="2" t="str">
        <f t="shared" si="734"/>
        <v/>
      </c>
      <c r="AV31" s="2" t="str">
        <f t="shared" si="734"/>
        <v/>
      </c>
      <c r="AW31" s="2" t="str">
        <f t="shared" si="734"/>
        <v/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</row>
    <row r="32" spans="1:77" x14ac:dyDescent="0.3">
      <c r="A32" s="15"/>
      <c r="B32" s="15"/>
      <c r="C32" s="15"/>
      <c r="D32" s="4">
        <v>46168</v>
      </c>
      <c r="E32" s="4">
        <v>46169</v>
      </c>
      <c r="F32" s="13"/>
      <c r="G32" s="13"/>
      <c r="H32" s="2" t="str">
        <f>IF($B31="","",IF(AND($D32&lt;=H$3,$E32&gt;=H$3),"ac",""))</f>
        <v/>
      </c>
      <c r="I32" s="2" t="str">
        <f t="shared" ref="I32" si="735">IF($B31="","",IF(AND($D32&lt;=I$3,$E32&gt;=I$3),"ac",""))</f>
        <v/>
      </c>
      <c r="J32" s="2" t="str">
        <f t="shared" ref="J32" si="736">IF($B31="","",IF(AND($D32&lt;=J$3,$E32&gt;=J$3),"ac",""))</f>
        <v/>
      </c>
      <c r="K32" s="2" t="str">
        <f t="shared" ref="K32" si="737">IF($B31="","",IF(AND($D32&lt;=K$3,$E32&gt;=K$3),"ac",""))</f>
        <v/>
      </c>
      <c r="L32" s="2" t="str">
        <f t="shared" ref="L32" si="738">IF($B31="","",IF(AND($D32&lt;=L$3,$E32&gt;=L$3),"ac",""))</f>
        <v/>
      </c>
      <c r="M32" s="2" t="str">
        <f t="shared" ref="M32" si="739">IF($B31="","",IF(AND($D32&lt;=M$3,$E32&gt;=M$3),"ac",""))</f>
        <v/>
      </c>
      <c r="N32" s="2" t="str">
        <f t="shared" ref="N32" si="740">IF($B31="","",IF(AND($D32&lt;=N$3,$E32&gt;=N$3),"ac",""))</f>
        <v/>
      </c>
      <c r="O32" s="2" t="str">
        <f t="shared" ref="O32" si="741">IF($B31="","",IF(AND($D32&lt;=O$3,$E32&gt;=O$3),"ac",""))</f>
        <v/>
      </c>
      <c r="P32" s="2" t="str">
        <f t="shared" ref="P32" si="742">IF($B31="","",IF(AND($D32&lt;=P$3,$E32&gt;=P$3),"ac",""))</f>
        <v/>
      </c>
      <c r="Q32" s="2" t="str">
        <f t="shared" ref="Q32" si="743">IF($B31="","",IF(AND($D32&lt;=Q$3,$E32&gt;=Q$3),"ac",""))</f>
        <v/>
      </c>
      <c r="R32" s="2" t="str">
        <f t="shared" ref="R32" si="744">IF($B31="","",IF(AND($D32&lt;=R$3,$E32&gt;=R$3),"ac",""))</f>
        <v/>
      </c>
      <c r="S32" s="2" t="str">
        <f t="shared" ref="S32" si="745">IF($B31="","",IF(AND($D32&lt;=S$3,$E32&gt;=S$3),"ac",""))</f>
        <v/>
      </c>
      <c r="T32" s="2" t="str">
        <f t="shared" ref="T32" si="746">IF($B31="","",IF(AND($D32&lt;=T$3,$E32&gt;=T$3),"ac",""))</f>
        <v/>
      </c>
      <c r="U32" s="2" t="str">
        <f t="shared" ref="U32" si="747">IF($B31="","",IF(AND($D32&lt;=U$3,$E32&gt;=U$3),"ac",""))</f>
        <v/>
      </c>
      <c r="V32" s="2" t="str">
        <f t="shared" ref="V32" si="748">IF($B31="","",IF(AND($D32&lt;=V$3,$E32&gt;=V$3),"ac",""))</f>
        <v/>
      </c>
      <c r="W32" s="2" t="str">
        <f t="shared" ref="W32" si="749">IF($B31="","",IF(AND($D32&lt;=W$3,$E32&gt;=W$3),"ac",""))</f>
        <v/>
      </c>
      <c r="X32" s="2" t="str">
        <f t="shared" ref="X32" si="750">IF($B31="","",IF(AND($D32&lt;=X$3,$E32&gt;=X$3),"ac",""))</f>
        <v/>
      </c>
      <c r="Y32" s="2" t="str">
        <f t="shared" ref="Y32" si="751">IF($B31="","",IF(AND($D32&lt;=Y$3,$E32&gt;=Y$3),"ac",""))</f>
        <v/>
      </c>
      <c r="Z32" s="2" t="str">
        <f t="shared" ref="Z32" si="752">IF($B31="","",IF(AND($D32&lt;=Z$3,$E32&gt;=Z$3),"ac",""))</f>
        <v/>
      </c>
      <c r="AA32" s="2" t="str">
        <f t="shared" ref="AA32" si="753">IF($B31="","",IF(AND($D32&lt;=AA$3,$E32&gt;=AA$3),"ac",""))</f>
        <v/>
      </c>
      <c r="AB32" s="2" t="str">
        <f t="shared" ref="AB32" si="754">IF($B31="","",IF(AND($D32&lt;=AB$3,$E32&gt;=AB$3),"ac",""))</f>
        <v/>
      </c>
      <c r="AC32" s="2" t="str">
        <f t="shared" ref="AC32" si="755">IF($B31="","",IF(AND($D32&lt;=AC$3,$E32&gt;=AC$3),"ac",""))</f>
        <v/>
      </c>
      <c r="AD32" s="2" t="str">
        <f t="shared" ref="AD32" si="756">IF($B31="","",IF(AND($D32&lt;=AD$3,$E32&gt;=AD$3),"ac",""))</f>
        <v/>
      </c>
      <c r="AE32" s="2" t="str">
        <f t="shared" ref="AE32" si="757">IF($B31="","",IF(AND($D32&lt;=AE$3,$E32&gt;=AE$3),"ac",""))</f>
        <v/>
      </c>
      <c r="AF32" s="2" t="str">
        <f t="shared" ref="AF32" si="758">IF($B31="","",IF(AND($D32&lt;=AF$3,$E32&gt;=AF$3),"ac",""))</f>
        <v/>
      </c>
      <c r="AG32" s="2" t="str">
        <f t="shared" ref="AG32" si="759">IF($B31="","",IF(AND($D32&lt;=AG$3,$E32&gt;=AG$3),"ac",""))</f>
        <v/>
      </c>
      <c r="AH32" s="2" t="str">
        <f t="shared" ref="AH32" si="760">IF($B31="","",IF(AND($D32&lt;=AH$3,$E32&gt;=AH$3),"ac",""))</f>
        <v/>
      </c>
      <c r="AI32" s="2" t="str">
        <f t="shared" ref="AI32" si="761">IF($B31="","",IF(AND($D32&lt;=AI$3,$E32&gt;=AI$3),"ac",""))</f>
        <v/>
      </c>
      <c r="AJ32" s="2" t="str">
        <f t="shared" ref="AJ32" si="762">IF($B31="","",IF(AND($D32&lt;=AJ$3,$E32&gt;=AJ$3),"ac",""))</f>
        <v/>
      </c>
      <c r="AK32" s="2" t="str">
        <f t="shared" ref="AK32" si="763">IF($B31="","",IF(AND($D32&lt;=AK$3,$E32&gt;=AK$3),"ac",""))</f>
        <v>ac</v>
      </c>
      <c r="AL32" s="2" t="str">
        <f t="shared" ref="AL32" si="764">IF($B31="","",IF(AND($D32&lt;=AL$3,$E32&gt;=AL$3),"ac",""))</f>
        <v>ac</v>
      </c>
      <c r="AM32" s="2" t="str">
        <f t="shared" ref="AM32" si="765">IF($B31="","",IF(AND($D32&lt;=AM$3,$E32&gt;=AM$3),"ac",""))</f>
        <v/>
      </c>
      <c r="AN32" s="2" t="str">
        <f t="shared" ref="AN32" si="766">IF($B31="","",IF(AND($D32&lt;=AN$3,$E32&gt;=AN$3),"ac",""))</f>
        <v/>
      </c>
      <c r="AO32" s="2" t="str">
        <f t="shared" ref="AO32" si="767">IF($B31="","",IF(AND($D32&lt;=AO$3,$E32&gt;=AO$3),"ac",""))</f>
        <v/>
      </c>
      <c r="AP32" s="2" t="str">
        <f t="shared" ref="AP32" si="768">IF($B31="","",IF(AND($D32&lt;=AP$3,$E32&gt;=AP$3),"ac",""))</f>
        <v/>
      </c>
      <c r="AQ32" s="2" t="str">
        <f t="shared" ref="AQ32" si="769">IF($B31="","",IF(AND($D32&lt;=AQ$3,$E32&gt;=AQ$3),"ac",""))</f>
        <v/>
      </c>
      <c r="AR32" s="2" t="str">
        <f t="shared" ref="AR32" si="770">IF($B31="","",IF(AND($D32&lt;=AR$3,$E32&gt;=AR$3),"ac",""))</f>
        <v/>
      </c>
      <c r="AS32" s="2" t="str">
        <f t="shared" ref="AS32" si="771">IF($B31="","",IF(AND($D32&lt;=AS$3,$E32&gt;=AS$3),"ac",""))</f>
        <v/>
      </c>
      <c r="AT32" s="2" t="str">
        <f t="shared" ref="AT32:AW32" si="772">IF($B31="","",IF(AND($D32&lt;=AT$3,$E32&gt;=AT$3),"ac",""))</f>
        <v/>
      </c>
      <c r="AU32" s="2" t="str">
        <f t="shared" si="772"/>
        <v/>
      </c>
      <c r="AV32" s="2" t="str">
        <f t="shared" si="772"/>
        <v/>
      </c>
      <c r="AW32" s="2" t="str">
        <f t="shared" si="772"/>
        <v/>
      </c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</row>
    <row r="33" spans="1:78" x14ac:dyDescent="0.3">
      <c r="A33" s="15">
        <v>3.6</v>
      </c>
      <c r="B33" s="15" t="s">
        <v>35</v>
      </c>
      <c r="C33" s="15">
        <f t="shared" si="98"/>
        <v>2</v>
      </c>
      <c r="D33" s="4">
        <v>46170</v>
      </c>
      <c r="E33" s="4">
        <v>46171</v>
      </c>
      <c r="F33" s="13" t="s">
        <v>44</v>
      </c>
      <c r="G33" s="13">
        <v>3.5</v>
      </c>
      <c r="H33" s="2" t="str">
        <f>IF($B33="","",IF(AND($D33&lt;=H$3,$E33&gt;=H$3),"a",""))</f>
        <v/>
      </c>
      <c r="I33" s="2" t="str">
        <f t="shared" si="45"/>
        <v/>
      </c>
      <c r="J33" s="2" t="str">
        <f t="shared" si="45"/>
        <v/>
      </c>
      <c r="K33" s="2" t="str">
        <f t="shared" si="45"/>
        <v/>
      </c>
      <c r="L33" s="2" t="str">
        <f t="shared" si="45"/>
        <v/>
      </c>
      <c r="M33" s="2" t="str">
        <f t="shared" si="45"/>
        <v/>
      </c>
      <c r="N33" s="2" t="str">
        <f t="shared" si="45"/>
        <v/>
      </c>
      <c r="O33" s="2" t="str">
        <f t="shared" ref="O33:AR33" si="773">IF($B33="","",IF(AND($D33&lt;=O$3,$E33&gt;=O$3),"a",""))</f>
        <v/>
      </c>
      <c r="P33" s="2" t="str">
        <f t="shared" si="773"/>
        <v/>
      </c>
      <c r="Q33" s="2" t="str">
        <f t="shared" si="773"/>
        <v/>
      </c>
      <c r="R33" s="2" t="str">
        <f t="shared" si="773"/>
        <v/>
      </c>
      <c r="S33" s="2" t="str">
        <f t="shared" si="773"/>
        <v/>
      </c>
      <c r="T33" s="2" t="str">
        <f t="shared" si="773"/>
        <v/>
      </c>
      <c r="U33" s="2" t="str">
        <f t="shared" si="773"/>
        <v/>
      </c>
      <c r="V33" s="2" t="str">
        <f t="shared" si="773"/>
        <v/>
      </c>
      <c r="W33" s="2" t="str">
        <f t="shared" si="773"/>
        <v/>
      </c>
      <c r="X33" s="2" t="str">
        <f t="shared" si="773"/>
        <v/>
      </c>
      <c r="Y33" s="2" t="str">
        <f t="shared" si="773"/>
        <v/>
      </c>
      <c r="Z33" s="2" t="str">
        <f t="shared" si="773"/>
        <v/>
      </c>
      <c r="AA33" s="2" t="str">
        <f t="shared" si="773"/>
        <v/>
      </c>
      <c r="AB33" s="2" t="str">
        <f t="shared" si="773"/>
        <v/>
      </c>
      <c r="AC33" s="2" t="str">
        <f t="shared" si="773"/>
        <v/>
      </c>
      <c r="AD33" s="2" t="str">
        <f t="shared" si="773"/>
        <v/>
      </c>
      <c r="AE33" s="2" t="str">
        <f t="shared" si="773"/>
        <v/>
      </c>
      <c r="AF33" s="2" t="str">
        <f t="shared" si="773"/>
        <v/>
      </c>
      <c r="AG33" s="2" t="str">
        <f t="shared" si="773"/>
        <v/>
      </c>
      <c r="AH33" s="2" t="str">
        <f t="shared" si="773"/>
        <v/>
      </c>
      <c r="AI33" s="2" t="str">
        <f t="shared" si="773"/>
        <v/>
      </c>
      <c r="AJ33" s="2" t="str">
        <f t="shared" si="773"/>
        <v/>
      </c>
      <c r="AK33" s="2" t="str">
        <f t="shared" si="773"/>
        <v/>
      </c>
      <c r="AL33" s="2" t="str">
        <f t="shared" si="773"/>
        <v/>
      </c>
      <c r="AM33" s="2" t="str">
        <f t="shared" si="773"/>
        <v>a</v>
      </c>
      <c r="AN33" s="2" t="str">
        <f t="shared" si="773"/>
        <v>a</v>
      </c>
      <c r="AO33" s="2" t="str">
        <f t="shared" si="773"/>
        <v/>
      </c>
      <c r="AP33" s="2" t="str">
        <f t="shared" si="773"/>
        <v/>
      </c>
      <c r="AQ33" s="2" t="str">
        <f t="shared" si="773"/>
        <v/>
      </c>
      <c r="AR33" s="2" t="str">
        <f t="shared" si="773"/>
        <v/>
      </c>
      <c r="AS33" s="2" t="str">
        <f t="shared" ref="I33:AW33" si="774">IF($B33="","",IF(AND($D33&lt;=AS$3,$E33&gt;=AS$3),"a",""))</f>
        <v/>
      </c>
      <c r="AT33" s="2" t="str">
        <f t="shared" si="774"/>
        <v/>
      </c>
      <c r="AU33" s="2" t="str">
        <f t="shared" si="774"/>
        <v/>
      </c>
      <c r="AV33" s="2" t="str">
        <f t="shared" si="774"/>
        <v/>
      </c>
      <c r="AW33" s="2" t="str">
        <f t="shared" si="774"/>
        <v/>
      </c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</row>
    <row r="34" spans="1:78" x14ac:dyDescent="0.3">
      <c r="A34" s="15"/>
      <c r="B34" s="15"/>
      <c r="C34" s="15"/>
      <c r="D34" s="4">
        <v>46170</v>
      </c>
      <c r="E34" s="4">
        <v>46171</v>
      </c>
      <c r="F34" s="13"/>
      <c r="G34" s="13"/>
      <c r="H34" s="2" t="str">
        <f>IF($B33="","",IF(AND($D34&lt;=H$3,$E34&gt;=H$3),"ac",""))</f>
        <v/>
      </c>
      <c r="I34" s="2" t="str">
        <f t="shared" ref="I34" si="775">IF($B33="","",IF(AND($D34&lt;=I$3,$E34&gt;=I$3),"ac",""))</f>
        <v/>
      </c>
      <c r="J34" s="2" t="str">
        <f t="shared" ref="J34" si="776">IF($B33="","",IF(AND($D34&lt;=J$3,$E34&gt;=J$3),"ac",""))</f>
        <v/>
      </c>
      <c r="K34" s="2" t="str">
        <f t="shared" ref="K34" si="777">IF($B33="","",IF(AND($D34&lt;=K$3,$E34&gt;=K$3),"ac",""))</f>
        <v/>
      </c>
      <c r="L34" s="2" t="str">
        <f t="shared" ref="L34" si="778">IF($B33="","",IF(AND($D34&lt;=L$3,$E34&gt;=L$3),"ac",""))</f>
        <v/>
      </c>
      <c r="M34" s="2" t="str">
        <f t="shared" ref="M34" si="779">IF($B33="","",IF(AND($D34&lt;=M$3,$E34&gt;=M$3),"ac",""))</f>
        <v/>
      </c>
      <c r="N34" s="2" t="str">
        <f t="shared" ref="N34" si="780">IF($B33="","",IF(AND($D34&lt;=N$3,$E34&gt;=N$3),"ac",""))</f>
        <v/>
      </c>
      <c r="O34" s="2" t="str">
        <f t="shared" ref="O34" si="781">IF($B33="","",IF(AND($D34&lt;=O$3,$E34&gt;=O$3),"ac",""))</f>
        <v/>
      </c>
      <c r="P34" s="2" t="str">
        <f t="shared" ref="P34" si="782">IF($B33="","",IF(AND($D34&lt;=P$3,$E34&gt;=P$3),"ac",""))</f>
        <v/>
      </c>
      <c r="Q34" s="2" t="str">
        <f t="shared" ref="Q34" si="783">IF($B33="","",IF(AND($D34&lt;=Q$3,$E34&gt;=Q$3),"ac",""))</f>
        <v/>
      </c>
      <c r="R34" s="2" t="str">
        <f t="shared" ref="R34" si="784">IF($B33="","",IF(AND($D34&lt;=R$3,$E34&gt;=R$3),"ac",""))</f>
        <v/>
      </c>
      <c r="S34" s="2" t="str">
        <f t="shared" ref="S34" si="785">IF($B33="","",IF(AND($D34&lt;=S$3,$E34&gt;=S$3),"ac",""))</f>
        <v/>
      </c>
      <c r="T34" s="2" t="str">
        <f t="shared" ref="T34" si="786">IF($B33="","",IF(AND($D34&lt;=T$3,$E34&gt;=T$3),"ac",""))</f>
        <v/>
      </c>
      <c r="U34" s="2" t="str">
        <f t="shared" ref="U34" si="787">IF($B33="","",IF(AND($D34&lt;=U$3,$E34&gt;=U$3),"ac",""))</f>
        <v/>
      </c>
      <c r="V34" s="2" t="str">
        <f t="shared" ref="V34" si="788">IF($B33="","",IF(AND($D34&lt;=V$3,$E34&gt;=V$3),"ac",""))</f>
        <v/>
      </c>
      <c r="W34" s="2" t="str">
        <f t="shared" ref="W34" si="789">IF($B33="","",IF(AND($D34&lt;=W$3,$E34&gt;=W$3),"ac",""))</f>
        <v/>
      </c>
      <c r="X34" s="2" t="str">
        <f t="shared" ref="X34" si="790">IF($B33="","",IF(AND($D34&lt;=X$3,$E34&gt;=X$3),"ac",""))</f>
        <v/>
      </c>
      <c r="Y34" s="2" t="str">
        <f t="shared" ref="Y34" si="791">IF($B33="","",IF(AND($D34&lt;=Y$3,$E34&gt;=Y$3),"ac",""))</f>
        <v/>
      </c>
      <c r="Z34" s="2" t="str">
        <f t="shared" ref="Z34" si="792">IF($B33="","",IF(AND($D34&lt;=Z$3,$E34&gt;=Z$3),"ac",""))</f>
        <v/>
      </c>
      <c r="AA34" s="2" t="str">
        <f t="shared" ref="AA34" si="793">IF($B33="","",IF(AND($D34&lt;=AA$3,$E34&gt;=AA$3),"ac",""))</f>
        <v/>
      </c>
      <c r="AB34" s="2" t="str">
        <f t="shared" ref="AB34" si="794">IF($B33="","",IF(AND($D34&lt;=AB$3,$E34&gt;=AB$3),"ac",""))</f>
        <v/>
      </c>
      <c r="AC34" s="2" t="str">
        <f t="shared" ref="AC34" si="795">IF($B33="","",IF(AND($D34&lt;=AC$3,$E34&gt;=AC$3),"ac",""))</f>
        <v/>
      </c>
      <c r="AD34" s="2" t="str">
        <f t="shared" ref="AD34" si="796">IF($B33="","",IF(AND($D34&lt;=AD$3,$E34&gt;=AD$3),"ac",""))</f>
        <v/>
      </c>
      <c r="AE34" s="2" t="str">
        <f t="shared" ref="AE34" si="797">IF($B33="","",IF(AND($D34&lt;=AE$3,$E34&gt;=AE$3),"ac",""))</f>
        <v/>
      </c>
      <c r="AF34" s="2" t="str">
        <f t="shared" ref="AF34" si="798">IF($B33="","",IF(AND($D34&lt;=AF$3,$E34&gt;=AF$3),"ac",""))</f>
        <v/>
      </c>
      <c r="AG34" s="2" t="str">
        <f t="shared" ref="AG34" si="799">IF($B33="","",IF(AND($D34&lt;=AG$3,$E34&gt;=AG$3),"ac",""))</f>
        <v/>
      </c>
      <c r="AH34" s="2" t="str">
        <f t="shared" ref="AH34" si="800">IF($B33="","",IF(AND($D34&lt;=AH$3,$E34&gt;=AH$3),"ac",""))</f>
        <v/>
      </c>
      <c r="AI34" s="2" t="str">
        <f t="shared" ref="AI34" si="801">IF($B33="","",IF(AND($D34&lt;=AI$3,$E34&gt;=AI$3),"ac",""))</f>
        <v/>
      </c>
      <c r="AJ34" s="2" t="str">
        <f t="shared" ref="AJ34" si="802">IF($B33="","",IF(AND($D34&lt;=AJ$3,$E34&gt;=AJ$3),"ac",""))</f>
        <v/>
      </c>
      <c r="AK34" s="2" t="str">
        <f t="shared" ref="AK34" si="803">IF($B33="","",IF(AND($D34&lt;=AK$3,$E34&gt;=AK$3),"ac",""))</f>
        <v/>
      </c>
      <c r="AL34" s="2" t="str">
        <f t="shared" ref="AL34" si="804">IF($B33="","",IF(AND($D34&lt;=AL$3,$E34&gt;=AL$3),"ac",""))</f>
        <v/>
      </c>
      <c r="AM34" s="2" t="str">
        <f t="shared" ref="AM34" si="805">IF($B33="","",IF(AND($D34&lt;=AM$3,$E34&gt;=AM$3),"ac",""))</f>
        <v>ac</v>
      </c>
      <c r="AN34" s="2" t="str">
        <f t="shared" ref="AN34" si="806">IF($B33="","",IF(AND($D34&lt;=AN$3,$E34&gt;=AN$3),"ac",""))</f>
        <v>ac</v>
      </c>
      <c r="AO34" s="2" t="str">
        <f t="shared" ref="AO34" si="807">IF($B33="","",IF(AND($D34&lt;=AO$3,$E34&gt;=AO$3),"ac",""))</f>
        <v/>
      </c>
      <c r="AP34" s="2" t="str">
        <f t="shared" ref="AP34" si="808">IF($B33="","",IF(AND($D34&lt;=AP$3,$E34&gt;=AP$3),"ac",""))</f>
        <v/>
      </c>
      <c r="AQ34" s="2" t="str">
        <f t="shared" ref="AQ34" si="809">IF($B33="","",IF(AND($D34&lt;=AQ$3,$E34&gt;=AQ$3),"ac",""))</f>
        <v/>
      </c>
      <c r="AR34" s="2" t="str">
        <f t="shared" ref="AR34" si="810">IF($B33="","",IF(AND($D34&lt;=AR$3,$E34&gt;=AR$3),"ac",""))</f>
        <v/>
      </c>
      <c r="AS34" s="2" t="str">
        <f t="shared" ref="AS34" si="811">IF($B33="","",IF(AND($D34&lt;=AS$3,$E34&gt;=AS$3),"ac",""))</f>
        <v/>
      </c>
      <c r="AT34" s="2" t="str">
        <f t="shared" ref="AT34:AW34" si="812">IF($B33="","",IF(AND($D34&lt;=AT$3,$E34&gt;=AT$3),"ac",""))</f>
        <v/>
      </c>
      <c r="AU34" s="2" t="str">
        <f t="shared" si="812"/>
        <v/>
      </c>
      <c r="AV34" s="2" t="str">
        <f t="shared" si="812"/>
        <v/>
      </c>
      <c r="AW34" s="2" t="str">
        <f t="shared" si="812"/>
        <v/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</row>
    <row r="35" spans="1:78" x14ac:dyDescent="0.3">
      <c r="A35" s="15">
        <v>3.7</v>
      </c>
      <c r="B35" s="15" t="s">
        <v>20</v>
      </c>
      <c r="C35" s="15">
        <f t="shared" si="98"/>
        <v>3</v>
      </c>
      <c r="D35" s="4">
        <v>46172</v>
      </c>
      <c r="E35" s="4">
        <v>46174</v>
      </c>
      <c r="F35" s="13" t="s">
        <v>44</v>
      </c>
      <c r="G35" s="13">
        <v>3.6</v>
      </c>
      <c r="H35" s="2" t="str">
        <f>IF($B35="","",IF(AND($D35&lt;=H$3,$E35&gt;=H$3),"a",""))</f>
        <v/>
      </c>
      <c r="I35" s="2" t="str">
        <f t="shared" si="45"/>
        <v/>
      </c>
      <c r="J35" s="2" t="str">
        <f t="shared" si="45"/>
        <v/>
      </c>
      <c r="K35" s="2" t="str">
        <f t="shared" si="45"/>
        <v/>
      </c>
      <c r="L35" s="2" t="str">
        <f t="shared" si="45"/>
        <v/>
      </c>
      <c r="M35" s="2" t="str">
        <f t="shared" si="45"/>
        <v/>
      </c>
      <c r="N35" s="2" t="str">
        <f t="shared" si="45"/>
        <v/>
      </c>
      <c r="O35" s="2" t="str">
        <f t="shared" ref="O35:AZ35" si="813">IF($B35="","",IF(AND($D35&lt;=O$3,$E35&gt;=O$3),"a",""))</f>
        <v/>
      </c>
      <c r="P35" s="2" t="str">
        <f t="shared" si="813"/>
        <v/>
      </c>
      <c r="Q35" s="2" t="str">
        <f t="shared" si="813"/>
        <v/>
      </c>
      <c r="R35" s="2" t="str">
        <f t="shared" si="813"/>
        <v/>
      </c>
      <c r="S35" s="2" t="str">
        <f t="shared" si="813"/>
        <v/>
      </c>
      <c r="T35" s="2" t="str">
        <f t="shared" si="813"/>
        <v/>
      </c>
      <c r="U35" s="2" t="str">
        <f t="shared" si="813"/>
        <v/>
      </c>
      <c r="V35" s="2" t="str">
        <f t="shared" si="813"/>
        <v/>
      </c>
      <c r="W35" s="2" t="str">
        <f t="shared" si="813"/>
        <v/>
      </c>
      <c r="X35" s="2" t="str">
        <f t="shared" si="813"/>
        <v/>
      </c>
      <c r="Y35" s="2" t="str">
        <f t="shared" si="813"/>
        <v/>
      </c>
      <c r="Z35" s="2" t="str">
        <f t="shared" si="813"/>
        <v/>
      </c>
      <c r="AA35" s="2" t="str">
        <f t="shared" si="813"/>
        <v/>
      </c>
      <c r="AB35" s="2" t="str">
        <f t="shared" si="813"/>
        <v/>
      </c>
      <c r="AC35" s="2" t="str">
        <f t="shared" si="813"/>
        <v/>
      </c>
      <c r="AD35" s="2" t="str">
        <f t="shared" si="813"/>
        <v/>
      </c>
      <c r="AE35" s="2" t="str">
        <f t="shared" si="813"/>
        <v/>
      </c>
      <c r="AF35" s="2" t="str">
        <f t="shared" si="813"/>
        <v/>
      </c>
      <c r="AG35" s="2" t="str">
        <f t="shared" si="813"/>
        <v/>
      </c>
      <c r="AH35" s="2" t="str">
        <f t="shared" si="813"/>
        <v/>
      </c>
      <c r="AI35" s="2" t="str">
        <f t="shared" si="813"/>
        <v/>
      </c>
      <c r="AJ35" s="2" t="str">
        <f t="shared" si="813"/>
        <v/>
      </c>
      <c r="AK35" s="2" t="str">
        <f t="shared" si="813"/>
        <v/>
      </c>
      <c r="AL35" s="2" t="str">
        <f t="shared" si="813"/>
        <v/>
      </c>
      <c r="AM35" s="2" t="str">
        <f t="shared" si="813"/>
        <v/>
      </c>
      <c r="AN35" s="2" t="str">
        <f t="shared" si="813"/>
        <v/>
      </c>
      <c r="AO35" s="2" t="str">
        <f t="shared" si="813"/>
        <v>a</v>
      </c>
      <c r="AP35" s="2" t="str">
        <f t="shared" si="813"/>
        <v>a</v>
      </c>
      <c r="AQ35" s="2" t="str">
        <f t="shared" si="813"/>
        <v>a</v>
      </c>
      <c r="AR35" s="2" t="str">
        <f t="shared" si="813"/>
        <v/>
      </c>
      <c r="AS35" s="2" t="str">
        <f t="shared" si="813"/>
        <v/>
      </c>
      <c r="AT35" s="2" t="str">
        <f t="shared" si="813"/>
        <v/>
      </c>
      <c r="AU35" s="2" t="str">
        <f t="shared" si="813"/>
        <v/>
      </c>
      <c r="AV35" s="2" t="str">
        <f t="shared" si="813"/>
        <v/>
      </c>
      <c r="AW35" s="2" t="str">
        <f t="shared" si="813"/>
        <v/>
      </c>
      <c r="AX35" s="2" t="str">
        <f t="shared" si="813"/>
        <v/>
      </c>
      <c r="AY35" s="2" t="str">
        <f t="shared" si="813"/>
        <v/>
      </c>
      <c r="AZ35" s="2" t="str">
        <f t="shared" si="813"/>
        <v/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</row>
    <row r="36" spans="1:78" x14ac:dyDescent="0.3">
      <c r="A36" s="15"/>
      <c r="B36" s="15"/>
      <c r="C36" s="15"/>
      <c r="D36" s="4">
        <v>46172</v>
      </c>
      <c r="E36" s="4">
        <v>46174</v>
      </c>
      <c r="F36" s="13"/>
      <c r="G36" s="13"/>
      <c r="H36" s="2" t="str">
        <f>IF($B35="","",IF(AND($D36&lt;=H$3,$E36&gt;=H$3),"ac",""))</f>
        <v/>
      </c>
      <c r="I36" s="2" t="str">
        <f t="shared" ref="I36" si="814">IF($B35="","",IF(AND($D36&lt;=I$3,$E36&gt;=I$3),"ac",""))</f>
        <v/>
      </c>
      <c r="J36" s="2" t="str">
        <f t="shared" ref="J36" si="815">IF($B35="","",IF(AND($D36&lt;=J$3,$E36&gt;=J$3),"ac",""))</f>
        <v/>
      </c>
      <c r="K36" s="2" t="str">
        <f t="shared" ref="K36" si="816">IF($B35="","",IF(AND($D36&lt;=K$3,$E36&gt;=K$3),"ac",""))</f>
        <v/>
      </c>
      <c r="L36" s="2" t="str">
        <f t="shared" ref="L36" si="817">IF($B35="","",IF(AND($D36&lt;=L$3,$E36&gt;=L$3),"ac",""))</f>
        <v/>
      </c>
      <c r="M36" s="2" t="str">
        <f t="shared" ref="M36" si="818">IF($B35="","",IF(AND($D36&lt;=M$3,$E36&gt;=M$3),"ac",""))</f>
        <v/>
      </c>
      <c r="N36" s="2" t="str">
        <f t="shared" ref="N36" si="819">IF($B35="","",IF(AND($D36&lt;=N$3,$E36&gt;=N$3),"ac",""))</f>
        <v/>
      </c>
      <c r="O36" s="2" t="str">
        <f t="shared" ref="O36" si="820">IF($B35="","",IF(AND($D36&lt;=O$3,$E36&gt;=O$3),"ac",""))</f>
        <v/>
      </c>
      <c r="P36" s="2" t="str">
        <f t="shared" ref="P36" si="821">IF($B35="","",IF(AND($D36&lt;=P$3,$E36&gt;=P$3),"ac",""))</f>
        <v/>
      </c>
      <c r="Q36" s="2" t="str">
        <f t="shared" ref="Q36" si="822">IF($B35="","",IF(AND($D36&lt;=Q$3,$E36&gt;=Q$3),"ac",""))</f>
        <v/>
      </c>
      <c r="R36" s="2" t="str">
        <f t="shared" ref="R36" si="823">IF($B35="","",IF(AND($D36&lt;=R$3,$E36&gt;=R$3),"ac",""))</f>
        <v/>
      </c>
      <c r="S36" s="2" t="str">
        <f t="shared" ref="S36" si="824">IF($B35="","",IF(AND($D36&lt;=S$3,$E36&gt;=S$3),"ac",""))</f>
        <v/>
      </c>
      <c r="T36" s="2" t="str">
        <f t="shared" ref="T36" si="825">IF($B35="","",IF(AND($D36&lt;=T$3,$E36&gt;=T$3),"ac",""))</f>
        <v/>
      </c>
      <c r="U36" s="2" t="str">
        <f t="shared" ref="U36" si="826">IF($B35="","",IF(AND($D36&lt;=U$3,$E36&gt;=U$3),"ac",""))</f>
        <v/>
      </c>
      <c r="V36" s="2" t="str">
        <f t="shared" ref="V36" si="827">IF($B35="","",IF(AND($D36&lt;=V$3,$E36&gt;=V$3),"ac",""))</f>
        <v/>
      </c>
      <c r="W36" s="2" t="str">
        <f t="shared" ref="W36" si="828">IF($B35="","",IF(AND($D36&lt;=W$3,$E36&gt;=W$3),"ac",""))</f>
        <v/>
      </c>
      <c r="X36" s="2" t="str">
        <f t="shared" ref="X36" si="829">IF($B35="","",IF(AND($D36&lt;=X$3,$E36&gt;=X$3),"ac",""))</f>
        <v/>
      </c>
      <c r="Y36" s="2" t="str">
        <f t="shared" ref="Y36" si="830">IF($B35="","",IF(AND($D36&lt;=Y$3,$E36&gt;=Y$3),"ac",""))</f>
        <v/>
      </c>
      <c r="Z36" s="2" t="str">
        <f t="shared" ref="Z36" si="831">IF($B35="","",IF(AND($D36&lt;=Z$3,$E36&gt;=Z$3),"ac",""))</f>
        <v/>
      </c>
      <c r="AA36" s="2" t="str">
        <f t="shared" ref="AA36" si="832">IF($B35="","",IF(AND($D36&lt;=AA$3,$E36&gt;=AA$3),"ac",""))</f>
        <v/>
      </c>
      <c r="AB36" s="2" t="str">
        <f t="shared" ref="AB36" si="833">IF($B35="","",IF(AND($D36&lt;=AB$3,$E36&gt;=AB$3),"ac",""))</f>
        <v/>
      </c>
      <c r="AC36" s="2" t="str">
        <f t="shared" ref="AC36" si="834">IF($B35="","",IF(AND($D36&lt;=AC$3,$E36&gt;=AC$3),"ac",""))</f>
        <v/>
      </c>
      <c r="AD36" s="2" t="str">
        <f t="shared" ref="AD36" si="835">IF($B35="","",IF(AND($D36&lt;=AD$3,$E36&gt;=AD$3),"ac",""))</f>
        <v/>
      </c>
      <c r="AE36" s="2" t="str">
        <f t="shared" ref="AE36" si="836">IF($B35="","",IF(AND($D36&lt;=AE$3,$E36&gt;=AE$3),"ac",""))</f>
        <v/>
      </c>
      <c r="AF36" s="2" t="str">
        <f t="shared" ref="AF36" si="837">IF($B35="","",IF(AND($D36&lt;=AF$3,$E36&gt;=AF$3),"ac",""))</f>
        <v/>
      </c>
      <c r="AG36" s="2" t="str">
        <f t="shared" ref="AG36" si="838">IF($B35="","",IF(AND($D36&lt;=AG$3,$E36&gt;=AG$3),"ac",""))</f>
        <v/>
      </c>
      <c r="AH36" s="2" t="str">
        <f t="shared" ref="AH36" si="839">IF($B35="","",IF(AND($D36&lt;=AH$3,$E36&gt;=AH$3),"ac",""))</f>
        <v/>
      </c>
      <c r="AI36" s="2" t="str">
        <f t="shared" ref="AI36" si="840">IF($B35="","",IF(AND($D36&lt;=AI$3,$E36&gt;=AI$3),"ac",""))</f>
        <v/>
      </c>
      <c r="AJ36" s="2" t="str">
        <f t="shared" ref="AJ36" si="841">IF($B35="","",IF(AND($D36&lt;=AJ$3,$E36&gt;=AJ$3),"ac",""))</f>
        <v/>
      </c>
      <c r="AK36" s="2" t="str">
        <f t="shared" ref="AK36" si="842">IF($B35="","",IF(AND($D36&lt;=AK$3,$E36&gt;=AK$3),"ac",""))</f>
        <v/>
      </c>
      <c r="AL36" s="2" t="str">
        <f t="shared" ref="AL36" si="843">IF($B35="","",IF(AND($D36&lt;=AL$3,$E36&gt;=AL$3),"ac",""))</f>
        <v/>
      </c>
      <c r="AM36" s="2" t="str">
        <f t="shared" ref="AM36" si="844">IF($B35="","",IF(AND($D36&lt;=AM$3,$E36&gt;=AM$3),"ac",""))</f>
        <v/>
      </c>
      <c r="AN36" s="2" t="str">
        <f t="shared" ref="AN36" si="845">IF($B35="","",IF(AND($D36&lt;=AN$3,$E36&gt;=AN$3),"ac",""))</f>
        <v/>
      </c>
      <c r="AO36" s="2" t="str">
        <f t="shared" ref="AO36" si="846">IF($B35="","",IF(AND($D36&lt;=AO$3,$E36&gt;=AO$3),"ac",""))</f>
        <v>ac</v>
      </c>
      <c r="AP36" s="2" t="str">
        <f t="shared" ref="AP36" si="847">IF($B35="","",IF(AND($D36&lt;=AP$3,$E36&gt;=AP$3),"ac",""))</f>
        <v>ac</v>
      </c>
      <c r="AQ36" s="2" t="str">
        <f t="shared" ref="AQ36" si="848">IF($B35="","",IF(AND($D36&lt;=AQ$3,$E36&gt;=AQ$3),"ac",""))</f>
        <v>ac</v>
      </c>
      <c r="AR36" s="2" t="str">
        <f t="shared" ref="AR36" si="849">IF($B35="","",IF(AND($D36&lt;=AR$3,$E36&gt;=AR$3),"ac",""))</f>
        <v/>
      </c>
      <c r="AS36" s="2" t="str">
        <f t="shared" ref="AS36" si="850">IF($B35="","",IF(AND($D36&lt;=AS$3,$E36&gt;=AS$3),"ac",""))</f>
        <v/>
      </c>
      <c r="AT36" s="2" t="str">
        <f t="shared" ref="AT36" si="851">IF($B35="","",IF(AND($D36&lt;=AT$3,$E36&gt;=AT$3),"ac",""))</f>
        <v/>
      </c>
      <c r="AU36" s="2" t="str">
        <f t="shared" ref="AU36" si="852">IF($B35="","",IF(AND($D36&lt;=AU$3,$E36&gt;=AU$3),"ac",""))</f>
        <v/>
      </c>
      <c r="AV36" s="2" t="str">
        <f t="shared" ref="AV36" si="853">IF($B35="","",IF(AND($D36&lt;=AV$3,$E36&gt;=AV$3),"ac",""))</f>
        <v/>
      </c>
      <c r="AW36" s="2" t="str">
        <f t="shared" ref="AW36" si="854">IF($B35="","",IF(AND($D36&lt;=AW$3,$E36&gt;=AW$3),"ac",""))</f>
        <v/>
      </c>
      <c r="AX36" s="2" t="str">
        <f t="shared" ref="AX36" si="855">IF($B35="","",IF(AND($D36&lt;=AX$3,$E36&gt;=AX$3),"ac",""))</f>
        <v/>
      </c>
      <c r="AY36" s="2" t="str">
        <f t="shared" ref="AY36" si="856">IF($B35="","",IF(AND($D36&lt;=AY$3,$E36&gt;=AY$3),"ac",""))</f>
        <v/>
      </c>
      <c r="AZ36" s="2" t="str">
        <f t="shared" ref="AZ36" si="857">IF($B35="","",IF(AND($D36&lt;=AZ$3,$E36&gt;=AZ$3),"ac",""))</f>
        <v/>
      </c>
      <c r="BA36" s="2" t="str">
        <f t="shared" ref="BA36" si="858">IF($B35="","",IF(AND($D36&lt;=BA$3,$E36&gt;=BA$3),"ac",""))</f>
        <v/>
      </c>
      <c r="BB36" s="2" t="str">
        <f t="shared" ref="BB36" si="859">IF($B35="","",IF(AND($D36&lt;=BB$3,$E36&gt;=BB$3),"ac",""))</f>
        <v/>
      </c>
      <c r="BC36" s="2" t="str">
        <f t="shared" ref="BC36" si="860">IF($B35="","",IF(AND($D36&lt;=BC$3,$E36&gt;=BC$3),"ac",""))</f>
        <v/>
      </c>
      <c r="BD36" s="2" t="str">
        <f t="shared" ref="BD36" si="861">IF($B35="","",IF(AND($D36&lt;=BD$3,$E36&gt;=BD$3),"ac",""))</f>
        <v/>
      </c>
      <c r="BE36" s="2" t="str">
        <f t="shared" ref="BE36" si="862">IF($B35="","",IF(AND($D36&lt;=BE$3,$E36&gt;=BE$3),"ac",""))</f>
        <v/>
      </c>
      <c r="BF36" s="2" t="str">
        <f t="shared" ref="BF36" si="863">IF($B35="","",IF(AND($D36&lt;=BF$3,$E36&gt;=BF$3),"ac",""))</f>
        <v/>
      </c>
      <c r="BG36" s="2" t="str">
        <f t="shared" ref="BG36" si="864">IF($B35="","",IF(AND($D36&lt;=BG$3,$E36&gt;=BG$3),"ac",""))</f>
        <v/>
      </c>
      <c r="BH36" s="2" t="str">
        <f t="shared" ref="BH36" si="865">IF($B35="","",IF(AND($D36&lt;=BH$3,$E36&gt;=BH$3),"ac",""))</f>
        <v/>
      </c>
      <c r="BI36" s="2" t="str">
        <f t="shared" ref="BI36" si="866">IF($B35="","",IF(AND($D36&lt;=BI$3,$E36&gt;=BI$3),"ac",""))</f>
        <v/>
      </c>
      <c r="BJ36" s="2" t="str">
        <f t="shared" ref="BJ36" si="867">IF($B35="","",IF(AND($D36&lt;=BJ$3,$E36&gt;=BJ$3),"ac",""))</f>
        <v/>
      </c>
      <c r="BK36" s="2" t="str">
        <f t="shared" ref="BK36" si="868">IF($B35="","",IF(AND($D36&lt;=BK$3,$E36&gt;=BK$3),"ac",""))</f>
        <v/>
      </c>
      <c r="BL36" s="2" t="str">
        <f t="shared" ref="BL36" si="869">IF($B35="","",IF(AND($D36&lt;=BL$3,$E36&gt;=BL$3),"ac",""))</f>
        <v/>
      </c>
      <c r="BM36" s="2" t="str">
        <f t="shared" ref="BM36" si="870">IF($B35="","",IF(AND($D36&lt;=BM$3,$E36&gt;=BM$3),"ac",""))</f>
        <v/>
      </c>
      <c r="BN36" s="2" t="str">
        <f t="shared" ref="BN36" si="871">IF($B35="","",IF(AND($D36&lt;=BN$3,$E36&gt;=BN$3),"ac",""))</f>
        <v/>
      </c>
      <c r="BO36" s="2" t="str">
        <f t="shared" ref="BO36" si="872">IF($B35="","",IF(AND($D36&lt;=BO$3,$E36&gt;=BO$3),"ac",""))</f>
        <v/>
      </c>
      <c r="BP36" s="2" t="str">
        <f t="shared" ref="BP36" si="873">IF($B35="","",IF(AND($D36&lt;=BP$3,$E36&gt;=BP$3),"ac",""))</f>
        <v/>
      </c>
      <c r="BQ36" s="2" t="str">
        <f t="shared" ref="BQ36" si="874">IF($B35="","",IF(AND($D36&lt;=BQ$3,$E36&gt;=BQ$3),"ac",""))</f>
        <v/>
      </c>
      <c r="BR36" s="2" t="str">
        <f t="shared" ref="BR36" si="875">IF($B35="","",IF(AND($D36&lt;=BR$3,$E36&gt;=BR$3),"ac",""))</f>
        <v/>
      </c>
      <c r="BS36" s="2" t="str">
        <f t="shared" ref="BS36" si="876">IF($B35="","",IF(AND($D36&lt;=BS$3,$E36&gt;=BS$3),"ac",""))</f>
        <v/>
      </c>
      <c r="BT36" s="2" t="str">
        <f t="shared" ref="BT36" si="877">IF($B35="","",IF(AND($D36&lt;=BT$3,$E36&gt;=BT$3),"ac",""))</f>
        <v/>
      </c>
      <c r="BU36" s="2" t="str">
        <f t="shared" ref="BU36" si="878">IF($B35="","",IF(AND($D36&lt;=BU$3,$E36&gt;=BU$3),"ac",""))</f>
        <v/>
      </c>
      <c r="BV36" s="2" t="str">
        <f t="shared" ref="BV36" si="879">IF($B35="","",IF(AND($D36&lt;=BV$3,$E36&gt;=BV$3),"ac",""))</f>
        <v/>
      </c>
      <c r="BW36" s="2" t="str">
        <f t="shared" ref="BW36" si="880">IF($B35="","",IF(AND($D36&lt;=BW$3,$E36&gt;=BW$3),"ac",""))</f>
        <v/>
      </c>
      <c r="BX36" s="2" t="str">
        <f t="shared" ref="BX36" si="881">IF($B35="","",IF(AND($D36&lt;=BX$3,$E36&gt;=BX$3),"ac",""))</f>
        <v/>
      </c>
      <c r="BY36" s="2" t="str">
        <f t="shared" ref="BY36" si="882">IF($B35="","",IF(AND($D36&lt;=BY$3,$E36&gt;=BY$3),"ac",""))</f>
        <v/>
      </c>
    </row>
    <row r="37" spans="1:78" x14ac:dyDescent="0.3">
      <c r="A37" s="15">
        <v>3.8</v>
      </c>
      <c r="B37" s="15" t="s">
        <v>36</v>
      </c>
      <c r="C37" s="15">
        <f t="shared" si="98"/>
        <v>2</v>
      </c>
      <c r="D37" s="4">
        <v>46175</v>
      </c>
      <c r="E37" s="4">
        <v>46176</v>
      </c>
      <c r="F37" s="13" t="s">
        <v>44</v>
      </c>
      <c r="G37" s="13">
        <v>3.7</v>
      </c>
      <c r="H37" s="2" t="str">
        <f>IF($B37="","",IF(AND($D37&lt;=H$3,$E37&gt;=H$3),"a",""))</f>
        <v/>
      </c>
      <c r="I37" s="2" t="str">
        <f t="shared" si="45"/>
        <v/>
      </c>
      <c r="J37" s="2" t="str">
        <f t="shared" si="45"/>
        <v/>
      </c>
      <c r="K37" s="2" t="str">
        <f t="shared" si="45"/>
        <v/>
      </c>
      <c r="L37" s="2" t="str">
        <f t="shared" si="45"/>
        <v/>
      </c>
      <c r="M37" s="2" t="str">
        <f t="shared" si="45"/>
        <v/>
      </c>
      <c r="N37" s="2" t="str">
        <f t="shared" si="45"/>
        <v/>
      </c>
      <c r="O37" s="2" t="str">
        <f t="shared" si="45"/>
        <v/>
      </c>
      <c r="P37" s="2" t="str">
        <f t="shared" si="45"/>
        <v/>
      </c>
      <c r="Q37" s="2" t="str">
        <f t="shared" ref="Q37:BY37" si="883">IF($B37="","",IF(AND($D37&lt;=Q$3,$E37&gt;=Q$3),"a",""))</f>
        <v/>
      </c>
      <c r="R37" s="2" t="str">
        <f t="shared" si="883"/>
        <v/>
      </c>
      <c r="S37" s="2" t="str">
        <f t="shared" si="883"/>
        <v/>
      </c>
      <c r="T37" s="2" t="str">
        <f t="shared" si="883"/>
        <v/>
      </c>
      <c r="U37" s="2" t="str">
        <f t="shared" si="883"/>
        <v/>
      </c>
      <c r="V37" s="2" t="str">
        <f t="shared" si="883"/>
        <v/>
      </c>
      <c r="W37" s="2" t="str">
        <f t="shared" si="883"/>
        <v/>
      </c>
      <c r="X37" s="2" t="str">
        <f t="shared" si="883"/>
        <v/>
      </c>
      <c r="Y37" s="2" t="str">
        <f t="shared" si="883"/>
        <v/>
      </c>
      <c r="Z37" s="2" t="str">
        <f t="shared" si="883"/>
        <v/>
      </c>
      <c r="AA37" s="2" t="str">
        <f t="shared" si="883"/>
        <v/>
      </c>
      <c r="AB37" s="2" t="str">
        <f t="shared" si="883"/>
        <v/>
      </c>
      <c r="AC37" s="2" t="str">
        <f t="shared" si="883"/>
        <v/>
      </c>
      <c r="AD37" s="2" t="str">
        <f t="shared" si="883"/>
        <v/>
      </c>
      <c r="AE37" s="2" t="str">
        <f t="shared" si="883"/>
        <v/>
      </c>
      <c r="AF37" s="2" t="str">
        <f t="shared" si="883"/>
        <v/>
      </c>
      <c r="AG37" s="2" t="str">
        <f t="shared" si="883"/>
        <v/>
      </c>
      <c r="AH37" s="2" t="str">
        <f t="shared" si="883"/>
        <v/>
      </c>
      <c r="AI37" s="2" t="str">
        <f t="shared" si="883"/>
        <v/>
      </c>
      <c r="AJ37" s="2" t="str">
        <f t="shared" si="883"/>
        <v/>
      </c>
      <c r="AK37" s="2" t="str">
        <f t="shared" si="883"/>
        <v/>
      </c>
      <c r="AL37" s="2" t="str">
        <f t="shared" si="883"/>
        <v/>
      </c>
      <c r="AM37" s="2" t="str">
        <f t="shared" si="883"/>
        <v/>
      </c>
      <c r="AN37" s="2" t="str">
        <f t="shared" si="883"/>
        <v/>
      </c>
      <c r="AO37" s="2" t="str">
        <f t="shared" si="883"/>
        <v/>
      </c>
      <c r="AP37" s="2" t="str">
        <f t="shared" si="883"/>
        <v/>
      </c>
      <c r="AQ37" s="2" t="str">
        <f t="shared" si="883"/>
        <v/>
      </c>
      <c r="AR37" s="2" t="str">
        <f t="shared" si="883"/>
        <v>a</v>
      </c>
      <c r="AS37" s="2" t="str">
        <f t="shared" si="883"/>
        <v>a</v>
      </c>
      <c r="AT37" s="2" t="str">
        <f t="shared" si="883"/>
        <v/>
      </c>
      <c r="AU37" s="2" t="str">
        <f t="shared" si="883"/>
        <v/>
      </c>
      <c r="AV37" s="2" t="str">
        <f t="shared" si="883"/>
        <v/>
      </c>
      <c r="AW37" s="2" t="str">
        <f t="shared" si="883"/>
        <v/>
      </c>
      <c r="AX37" s="2" t="str">
        <f t="shared" si="883"/>
        <v/>
      </c>
      <c r="AY37" s="2" t="str">
        <f t="shared" si="883"/>
        <v/>
      </c>
      <c r="AZ37" s="2" t="str">
        <f t="shared" si="883"/>
        <v/>
      </c>
      <c r="BA37" s="2" t="str">
        <f t="shared" si="883"/>
        <v/>
      </c>
      <c r="BB37" s="2" t="str">
        <f t="shared" si="883"/>
        <v/>
      </c>
      <c r="BC37" s="2" t="str">
        <f t="shared" si="883"/>
        <v/>
      </c>
      <c r="BD37" s="2" t="str">
        <f t="shared" si="883"/>
        <v/>
      </c>
      <c r="BE37" s="2" t="str">
        <f t="shared" si="883"/>
        <v/>
      </c>
      <c r="BF37" s="2" t="str">
        <f t="shared" si="883"/>
        <v/>
      </c>
      <c r="BG37" s="2" t="str">
        <f t="shared" si="883"/>
        <v/>
      </c>
      <c r="BH37" s="2" t="str">
        <f t="shared" si="883"/>
        <v/>
      </c>
      <c r="BI37" s="2" t="str">
        <f t="shared" si="883"/>
        <v/>
      </c>
      <c r="BJ37" s="2" t="str">
        <f t="shared" si="883"/>
        <v/>
      </c>
      <c r="BK37" s="2" t="str">
        <f t="shared" si="883"/>
        <v/>
      </c>
      <c r="BL37" s="2" t="str">
        <f t="shared" si="883"/>
        <v/>
      </c>
      <c r="BM37" s="2" t="str">
        <f t="shared" si="883"/>
        <v/>
      </c>
      <c r="BN37" s="2" t="str">
        <f t="shared" si="883"/>
        <v/>
      </c>
      <c r="BO37" s="2" t="str">
        <f t="shared" si="883"/>
        <v/>
      </c>
      <c r="BP37" s="2" t="str">
        <f t="shared" si="883"/>
        <v/>
      </c>
      <c r="BQ37" s="2" t="str">
        <f t="shared" si="883"/>
        <v/>
      </c>
      <c r="BR37" s="2" t="str">
        <f t="shared" si="883"/>
        <v/>
      </c>
      <c r="BS37" s="2" t="str">
        <f t="shared" si="883"/>
        <v/>
      </c>
      <c r="BT37" s="2" t="str">
        <f t="shared" si="883"/>
        <v/>
      </c>
      <c r="BU37" s="2" t="str">
        <f t="shared" si="883"/>
        <v/>
      </c>
      <c r="BV37" s="2" t="str">
        <f t="shared" si="883"/>
        <v/>
      </c>
      <c r="BW37" s="2" t="str">
        <f t="shared" si="883"/>
        <v/>
      </c>
      <c r="BX37" s="2" t="str">
        <f t="shared" si="883"/>
        <v/>
      </c>
      <c r="BY37" s="2" t="str">
        <f t="shared" si="883"/>
        <v/>
      </c>
    </row>
    <row r="38" spans="1:78" x14ac:dyDescent="0.3">
      <c r="A38" s="15"/>
      <c r="B38" s="15"/>
      <c r="C38" s="15"/>
      <c r="D38" s="4">
        <v>46175</v>
      </c>
      <c r="E38" s="4">
        <v>46176</v>
      </c>
      <c r="F38" s="13"/>
      <c r="G38" s="13"/>
      <c r="H38" s="2" t="str">
        <f>IF($B37="","",IF(AND($D38&lt;=H$3,$E38&gt;=H$3),"ac",""))</f>
        <v/>
      </c>
      <c r="I38" s="2" t="str">
        <f t="shared" ref="I38" si="884">IF($B37="","",IF(AND($D38&lt;=I$3,$E38&gt;=I$3),"ac",""))</f>
        <v/>
      </c>
      <c r="J38" s="2" t="str">
        <f t="shared" ref="J38" si="885">IF($B37="","",IF(AND($D38&lt;=J$3,$E38&gt;=J$3),"ac",""))</f>
        <v/>
      </c>
      <c r="K38" s="2" t="str">
        <f t="shared" ref="K38" si="886">IF($B37="","",IF(AND($D38&lt;=K$3,$E38&gt;=K$3),"ac",""))</f>
        <v/>
      </c>
      <c r="L38" s="2" t="str">
        <f t="shared" ref="L38" si="887">IF($B37="","",IF(AND($D38&lt;=L$3,$E38&gt;=L$3),"ac",""))</f>
        <v/>
      </c>
      <c r="M38" s="2" t="str">
        <f t="shared" ref="M38" si="888">IF($B37="","",IF(AND($D38&lt;=M$3,$E38&gt;=M$3),"ac",""))</f>
        <v/>
      </c>
      <c r="N38" s="2" t="str">
        <f t="shared" ref="N38" si="889">IF($B37="","",IF(AND($D38&lt;=N$3,$E38&gt;=N$3),"ac",""))</f>
        <v/>
      </c>
      <c r="O38" s="2" t="str">
        <f t="shared" ref="O38" si="890">IF($B37="","",IF(AND($D38&lt;=O$3,$E38&gt;=O$3),"ac",""))</f>
        <v/>
      </c>
      <c r="P38" s="2" t="str">
        <f t="shared" ref="P38" si="891">IF($B37="","",IF(AND($D38&lt;=P$3,$E38&gt;=P$3),"ac",""))</f>
        <v/>
      </c>
      <c r="Q38" s="2" t="str">
        <f t="shared" ref="Q38" si="892">IF($B37="","",IF(AND($D38&lt;=Q$3,$E38&gt;=Q$3),"ac",""))</f>
        <v/>
      </c>
      <c r="R38" s="2" t="str">
        <f t="shared" ref="R38" si="893">IF($B37="","",IF(AND($D38&lt;=R$3,$E38&gt;=R$3),"ac",""))</f>
        <v/>
      </c>
      <c r="S38" s="2" t="str">
        <f t="shared" ref="S38" si="894">IF($B37="","",IF(AND($D38&lt;=S$3,$E38&gt;=S$3),"ac",""))</f>
        <v/>
      </c>
      <c r="T38" s="2" t="str">
        <f t="shared" ref="T38" si="895">IF($B37="","",IF(AND($D38&lt;=T$3,$E38&gt;=T$3),"ac",""))</f>
        <v/>
      </c>
      <c r="U38" s="2" t="str">
        <f t="shared" ref="U38" si="896">IF($B37="","",IF(AND($D38&lt;=U$3,$E38&gt;=U$3),"ac",""))</f>
        <v/>
      </c>
      <c r="V38" s="2" t="str">
        <f t="shared" ref="V38" si="897">IF($B37="","",IF(AND($D38&lt;=V$3,$E38&gt;=V$3),"ac",""))</f>
        <v/>
      </c>
      <c r="W38" s="2" t="str">
        <f t="shared" ref="W38" si="898">IF($B37="","",IF(AND($D38&lt;=W$3,$E38&gt;=W$3),"ac",""))</f>
        <v/>
      </c>
      <c r="X38" s="2" t="str">
        <f t="shared" ref="X38" si="899">IF($B37="","",IF(AND($D38&lt;=X$3,$E38&gt;=X$3),"ac",""))</f>
        <v/>
      </c>
      <c r="Y38" s="2" t="str">
        <f t="shared" ref="Y38" si="900">IF($B37="","",IF(AND($D38&lt;=Y$3,$E38&gt;=Y$3),"ac",""))</f>
        <v/>
      </c>
      <c r="Z38" s="2" t="str">
        <f t="shared" ref="Z38" si="901">IF($B37="","",IF(AND($D38&lt;=Z$3,$E38&gt;=Z$3),"ac",""))</f>
        <v/>
      </c>
      <c r="AA38" s="2" t="str">
        <f t="shared" ref="AA38" si="902">IF($B37="","",IF(AND($D38&lt;=AA$3,$E38&gt;=AA$3),"ac",""))</f>
        <v/>
      </c>
      <c r="AB38" s="2" t="str">
        <f t="shared" ref="AB38" si="903">IF($B37="","",IF(AND($D38&lt;=AB$3,$E38&gt;=AB$3),"ac",""))</f>
        <v/>
      </c>
      <c r="AC38" s="2" t="str">
        <f t="shared" ref="AC38" si="904">IF($B37="","",IF(AND($D38&lt;=AC$3,$E38&gt;=AC$3),"ac",""))</f>
        <v/>
      </c>
      <c r="AD38" s="2" t="str">
        <f t="shared" ref="AD38" si="905">IF($B37="","",IF(AND($D38&lt;=AD$3,$E38&gt;=AD$3),"ac",""))</f>
        <v/>
      </c>
      <c r="AE38" s="2" t="str">
        <f t="shared" ref="AE38" si="906">IF($B37="","",IF(AND($D38&lt;=AE$3,$E38&gt;=AE$3),"ac",""))</f>
        <v/>
      </c>
      <c r="AF38" s="2" t="str">
        <f t="shared" ref="AF38" si="907">IF($B37="","",IF(AND($D38&lt;=AF$3,$E38&gt;=AF$3),"ac",""))</f>
        <v/>
      </c>
      <c r="AG38" s="2" t="str">
        <f t="shared" ref="AG38" si="908">IF($B37="","",IF(AND($D38&lt;=AG$3,$E38&gt;=AG$3),"ac",""))</f>
        <v/>
      </c>
      <c r="AH38" s="2" t="str">
        <f t="shared" ref="AH38" si="909">IF($B37="","",IF(AND($D38&lt;=AH$3,$E38&gt;=AH$3),"ac",""))</f>
        <v/>
      </c>
      <c r="AI38" s="2" t="str">
        <f t="shared" ref="AI38" si="910">IF($B37="","",IF(AND($D38&lt;=AI$3,$E38&gt;=AI$3),"ac",""))</f>
        <v/>
      </c>
      <c r="AJ38" s="2" t="str">
        <f t="shared" ref="AJ38" si="911">IF($B37="","",IF(AND($D38&lt;=AJ$3,$E38&gt;=AJ$3),"ac",""))</f>
        <v/>
      </c>
      <c r="AK38" s="2" t="str">
        <f t="shared" ref="AK38" si="912">IF($B37="","",IF(AND($D38&lt;=AK$3,$E38&gt;=AK$3),"ac",""))</f>
        <v/>
      </c>
      <c r="AL38" s="2" t="str">
        <f t="shared" ref="AL38" si="913">IF($B37="","",IF(AND($D38&lt;=AL$3,$E38&gt;=AL$3),"ac",""))</f>
        <v/>
      </c>
      <c r="AM38" s="2" t="str">
        <f t="shared" ref="AM38" si="914">IF($B37="","",IF(AND($D38&lt;=AM$3,$E38&gt;=AM$3),"ac",""))</f>
        <v/>
      </c>
      <c r="AN38" s="2" t="str">
        <f t="shared" ref="AN38" si="915">IF($B37="","",IF(AND($D38&lt;=AN$3,$E38&gt;=AN$3),"ac",""))</f>
        <v/>
      </c>
      <c r="AO38" s="2" t="str">
        <f t="shared" ref="AO38" si="916">IF($B37="","",IF(AND($D38&lt;=AO$3,$E38&gt;=AO$3),"ac",""))</f>
        <v/>
      </c>
      <c r="AP38" s="2" t="str">
        <f t="shared" ref="AP38" si="917">IF($B37="","",IF(AND($D38&lt;=AP$3,$E38&gt;=AP$3),"ac",""))</f>
        <v/>
      </c>
      <c r="AQ38" s="2" t="str">
        <f t="shared" ref="AQ38" si="918">IF($B37="","",IF(AND($D38&lt;=AQ$3,$E38&gt;=AQ$3),"ac",""))</f>
        <v/>
      </c>
      <c r="AR38" s="2" t="str">
        <f t="shared" ref="AR38" si="919">IF($B37="","",IF(AND($D38&lt;=AR$3,$E38&gt;=AR$3),"ac",""))</f>
        <v>ac</v>
      </c>
      <c r="AS38" s="2" t="str">
        <f t="shared" ref="AS38" si="920">IF($B37="","",IF(AND($D38&lt;=AS$3,$E38&gt;=AS$3),"ac",""))</f>
        <v>ac</v>
      </c>
      <c r="AT38" s="2" t="str">
        <f t="shared" ref="AT38" si="921">IF($B37="","",IF(AND($D38&lt;=AT$3,$E38&gt;=AT$3),"ac",""))</f>
        <v/>
      </c>
      <c r="AU38" s="2" t="str">
        <f t="shared" ref="AU38" si="922">IF($B37="","",IF(AND($D38&lt;=AU$3,$E38&gt;=AU$3),"ac",""))</f>
        <v/>
      </c>
      <c r="AV38" s="2" t="str">
        <f t="shared" ref="AV38" si="923">IF($B37="","",IF(AND($D38&lt;=AV$3,$E38&gt;=AV$3),"ac",""))</f>
        <v/>
      </c>
      <c r="AW38" s="2" t="str">
        <f t="shared" ref="AW38" si="924">IF($B37="","",IF(AND($D38&lt;=AW$3,$E38&gt;=AW$3),"ac",""))</f>
        <v/>
      </c>
      <c r="AX38" s="2" t="str">
        <f t="shared" ref="AX38" si="925">IF($B37="","",IF(AND($D38&lt;=AX$3,$E38&gt;=AX$3),"ac",""))</f>
        <v/>
      </c>
      <c r="AY38" s="2" t="str">
        <f t="shared" ref="AY38" si="926">IF($B37="","",IF(AND($D38&lt;=AY$3,$E38&gt;=AY$3),"ac",""))</f>
        <v/>
      </c>
      <c r="AZ38" s="2" t="str">
        <f t="shared" ref="AZ38" si="927">IF($B37="","",IF(AND($D38&lt;=AZ$3,$E38&gt;=AZ$3),"ac",""))</f>
        <v/>
      </c>
      <c r="BA38" s="2" t="str">
        <f t="shared" ref="BA38" si="928">IF($B37="","",IF(AND($D38&lt;=BA$3,$E38&gt;=BA$3),"ac",""))</f>
        <v/>
      </c>
      <c r="BB38" s="2" t="str">
        <f t="shared" ref="BB38" si="929">IF($B37="","",IF(AND($D38&lt;=BB$3,$E38&gt;=BB$3),"ac",""))</f>
        <v/>
      </c>
      <c r="BC38" s="2" t="str">
        <f t="shared" ref="BC38" si="930">IF($B37="","",IF(AND($D38&lt;=BC$3,$E38&gt;=BC$3),"ac",""))</f>
        <v/>
      </c>
      <c r="BD38" s="2" t="str">
        <f t="shared" ref="BD38" si="931">IF($B37="","",IF(AND($D38&lt;=BD$3,$E38&gt;=BD$3),"ac",""))</f>
        <v/>
      </c>
      <c r="BE38" s="2" t="str">
        <f t="shared" ref="BE38" si="932">IF($B37="","",IF(AND($D38&lt;=BE$3,$E38&gt;=BE$3),"ac",""))</f>
        <v/>
      </c>
      <c r="BF38" s="2" t="str">
        <f t="shared" ref="BF38" si="933">IF($B37="","",IF(AND($D38&lt;=BF$3,$E38&gt;=BF$3),"ac",""))</f>
        <v/>
      </c>
      <c r="BG38" s="2" t="str">
        <f t="shared" ref="BG38" si="934">IF($B37="","",IF(AND($D38&lt;=BG$3,$E38&gt;=BG$3),"ac",""))</f>
        <v/>
      </c>
      <c r="BH38" s="2" t="str">
        <f t="shared" ref="BH38" si="935">IF($B37="","",IF(AND($D38&lt;=BH$3,$E38&gt;=BH$3),"ac",""))</f>
        <v/>
      </c>
      <c r="BI38" s="2" t="str">
        <f t="shared" ref="BI38" si="936">IF($B37="","",IF(AND($D38&lt;=BI$3,$E38&gt;=BI$3),"ac",""))</f>
        <v/>
      </c>
      <c r="BJ38" s="2" t="str">
        <f t="shared" ref="BJ38" si="937">IF($B37="","",IF(AND($D38&lt;=BJ$3,$E38&gt;=BJ$3),"ac",""))</f>
        <v/>
      </c>
      <c r="BK38" s="2" t="str">
        <f t="shared" ref="BK38" si="938">IF($B37="","",IF(AND($D38&lt;=BK$3,$E38&gt;=BK$3),"ac",""))</f>
        <v/>
      </c>
      <c r="BL38" s="2" t="str">
        <f t="shared" ref="BL38" si="939">IF($B37="","",IF(AND($D38&lt;=BL$3,$E38&gt;=BL$3),"ac",""))</f>
        <v/>
      </c>
      <c r="BM38" s="2" t="str">
        <f t="shared" ref="BM38" si="940">IF($B37="","",IF(AND($D38&lt;=BM$3,$E38&gt;=BM$3),"ac",""))</f>
        <v/>
      </c>
      <c r="BN38" s="2" t="str">
        <f t="shared" ref="BN38" si="941">IF($B37="","",IF(AND($D38&lt;=BN$3,$E38&gt;=BN$3),"ac",""))</f>
        <v/>
      </c>
      <c r="BO38" s="2" t="str">
        <f t="shared" ref="BO38" si="942">IF($B37="","",IF(AND($D38&lt;=BO$3,$E38&gt;=BO$3),"ac",""))</f>
        <v/>
      </c>
      <c r="BP38" s="2" t="str">
        <f t="shared" ref="BP38" si="943">IF($B37="","",IF(AND($D38&lt;=BP$3,$E38&gt;=BP$3),"ac",""))</f>
        <v/>
      </c>
      <c r="BQ38" s="2" t="str">
        <f t="shared" ref="BQ38" si="944">IF($B37="","",IF(AND($D38&lt;=BQ$3,$E38&gt;=BQ$3),"ac",""))</f>
        <v/>
      </c>
      <c r="BR38" s="2" t="str">
        <f t="shared" ref="BR38" si="945">IF($B37="","",IF(AND($D38&lt;=BR$3,$E38&gt;=BR$3),"ac",""))</f>
        <v/>
      </c>
      <c r="BS38" s="2" t="str">
        <f t="shared" ref="BS38" si="946">IF($B37="","",IF(AND($D38&lt;=BS$3,$E38&gt;=BS$3),"ac",""))</f>
        <v/>
      </c>
      <c r="BT38" s="2" t="str">
        <f t="shared" ref="BT38" si="947">IF($B37="","",IF(AND($D38&lt;=BT$3,$E38&gt;=BT$3),"ac",""))</f>
        <v/>
      </c>
      <c r="BU38" s="2" t="str">
        <f t="shared" ref="BU38" si="948">IF($B37="","",IF(AND($D38&lt;=BU$3,$E38&gt;=BU$3),"ac",""))</f>
        <v/>
      </c>
      <c r="BV38" s="2" t="str">
        <f t="shared" ref="BV38" si="949">IF($B37="","",IF(AND($D38&lt;=BV$3,$E38&gt;=BV$3),"ac",""))</f>
        <v/>
      </c>
      <c r="BW38" s="2" t="str">
        <f t="shared" ref="BW38" si="950">IF($B37="","",IF(AND($D38&lt;=BW$3,$E38&gt;=BW$3),"ac",""))</f>
        <v/>
      </c>
      <c r="BX38" s="2" t="str">
        <f t="shared" ref="BX38" si="951">IF($B37="","",IF(AND($D38&lt;=BX$3,$E38&gt;=BX$3),"ac",""))</f>
        <v/>
      </c>
      <c r="BY38" s="2" t="str">
        <f t="shared" ref="BY38" si="952">IF($B37="","",IF(AND($D38&lt;=BY$3,$E38&gt;=BY$3),"ac",""))</f>
        <v/>
      </c>
    </row>
    <row r="39" spans="1:78" x14ac:dyDescent="0.3">
      <c r="A39" s="15">
        <v>3.9</v>
      </c>
      <c r="B39" s="15" t="s">
        <v>21</v>
      </c>
      <c r="C39" s="15">
        <f t="shared" si="98"/>
        <v>2</v>
      </c>
      <c r="D39" s="4">
        <v>46177</v>
      </c>
      <c r="E39" s="4">
        <v>46178</v>
      </c>
      <c r="F39" s="13" t="s">
        <v>44</v>
      </c>
      <c r="G39" s="13">
        <v>3.8</v>
      </c>
      <c r="H39" s="2" t="str">
        <f>IF($B39="","",IF(AND($D39&lt;=H$3,$E39&gt;=H$3),"a",""))</f>
        <v/>
      </c>
      <c r="I39" s="2" t="str">
        <f t="shared" si="45"/>
        <v/>
      </c>
      <c r="J39" s="2" t="str">
        <f t="shared" si="45"/>
        <v/>
      </c>
      <c r="K39" s="2" t="str">
        <f t="shared" si="45"/>
        <v/>
      </c>
      <c r="L39" s="2" t="str">
        <f t="shared" si="45"/>
        <v/>
      </c>
      <c r="M39" s="2" t="str">
        <f t="shared" si="45"/>
        <v/>
      </c>
      <c r="N39" s="2" t="str">
        <f t="shared" si="45"/>
        <v/>
      </c>
      <c r="O39" s="2" t="str">
        <f t="shared" ref="O39:BY39" si="953">IF($B39="","",IF(AND($D39&lt;=O$3,$E39&gt;=O$3),"a",""))</f>
        <v/>
      </c>
      <c r="P39" s="2" t="str">
        <f t="shared" si="953"/>
        <v/>
      </c>
      <c r="Q39" s="2" t="str">
        <f t="shared" si="953"/>
        <v/>
      </c>
      <c r="R39" s="2" t="str">
        <f t="shared" si="953"/>
        <v/>
      </c>
      <c r="S39" s="2" t="str">
        <f t="shared" si="953"/>
        <v/>
      </c>
      <c r="T39" s="2" t="str">
        <f t="shared" si="953"/>
        <v/>
      </c>
      <c r="U39" s="2" t="str">
        <f t="shared" si="953"/>
        <v/>
      </c>
      <c r="V39" s="2" t="str">
        <f t="shared" si="953"/>
        <v/>
      </c>
      <c r="W39" s="2" t="str">
        <f t="shared" si="953"/>
        <v/>
      </c>
      <c r="X39" s="2" t="str">
        <f t="shared" si="953"/>
        <v/>
      </c>
      <c r="Y39" s="2" t="str">
        <f t="shared" si="953"/>
        <v/>
      </c>
      <c r="Z39" s="2" t="str">
        <f t="shared" si="953"/>
        <v/>
      </c>
      <c r="AA39" s="2" t="str">
        <f t="shared" si="953"/>
        <v/>
      </c>
      <c r="AB39" s="2" t="str">
        <f t="shared" si="953"/>
        <v/>
      </c>
      <c r="AC39" s="2" t="str">
        <f t="shared" si="953"/>
        <v/>
      </c>
      <c r="AD39" s="2" t="str">
        <f t="shared" si="953"/>
        <v/>
      </c>
      <c r="AE39" s="2" t="str">
        <f t="shared" si="953"/>
        <v/>
      </c>
      <c r="AF39" s="2" t="str">
        <f t="shared" si="953"/>
        <v/>
      </c>
      <c r="AG39" s="2" t="str">
        <f t="shared" si="953"/>
        <v/>
      </c>
      <c r="AH39" s="2" t="str">
        <f t="shared" si="953"/>
        <v/>
      </c>
      <c r="AI39" s="2" t="str">
        <f t="shared" si="953"/>
        <v/>
      </c>
      <c r="AJ39" s="2" t="str">
        <f t="shared" si="953"/>
        <v/>
      </c>
      <c r="AK39" s="2" t="str">
        <f t="shared" si="953"/>
        <v/>
      </c>
      <c r="AL39" s="2" t="str">
        <f t="shared" si="953"/>
        <v/>
      </c>
      <c r="AM39" s="2" t="str">
        <f t="shared" si="953"/>
        <v/>
      </c>
      <c r="AN39" s="2" t="str">
        <f t="shared" si="953"/>
        <v/>
      </c>
      <c r="AO39" s="2" t="str">
        <f t="shared" si="953"/>
        <v/>
      </c>
      <c r="AP39" s="2" t="str">
        <f t="shared" si="953"/>
        <v/>
      </c>
      <c r="AQ39" s="2" t="str">
        <f t="shared" si="953"/>
        <v/>
      </c>
      <c r="AR39" s="2" t="str">
        <f t="shared" si="953"/>
        <v/>
      </c>
      <c r="AS39" s="2" t="str">
        <f t="shared" si="953"/>
        <v/>
      </c>
      <c r="AT39" s="2" t="str">
        <f t="shared" si="953"/>
        <v>a</v>
      </c>
      <c r="AU39" s="2" t="str">
        <f t="shared" si="953"/>
        <v>a</v>
      </c>
      <c r="AV39" s="2" t="str">
        <f t="shared" si="953"/>
        <v/>
      </c>
      <c r="AW39" s="2" t="str">
        <f t="shared" si="953"/>
        <v/>
      </c>
      <c r="AX39" s="2" t="str">
        <f t="shared" si="953"/>
        <v/>
      </c>
      <c r="AY39" s="2" t="str">
        <f t="shared" si="953"/>
        <v/>
      </c>
      <c r="AZ39" s="2" t="str">
        <f t="shared" si="953"/>
        <v/>
      </c>
      <c r="BA39" s="2" t="str">
        <f t="shared" si="953"/>
        <v/>
      </c>
      <c r="BB39" s="2" t="str">
        <f t="shared" si="953"/>
        <v/>
      </c>
      <c r="BC39" s="2" t="str">
        <f t="shared" si="953"/>
        <v/>
      </c>
      <c r="BD39" s="2" t="str">
        <f t="shared" si="953"/>
        <v/>
      </c>
      <c r="BE39" s="2" t="str">
        <f t="shared" si="953"/>
        <v/>
      </c>
      <c r="BF39" s="2" t="str">
        <f t="shared" si="953"/>
        <v/>
      </c>
      <c r="BG39" s="2" t="str">
        <f t="shared" si="953"/>
        <v/>
      </c>
      <c r="BH39" s="2" t="str">
        <f t="shared" si="953"/>
        <v/>
      </c>
      <c r="BI39" s="2" t="str">
        <f t="shared" si="953"/>
        <v/>
      </c>
      <c r="BJ39" s="2" t="str">
        <f t="shared" si="953"/>
        <v/>
      </c>
      <c r="BK39" s="2" t="str">
        <f t="shared" si="953"/>
        <v/>
      </c>
      <c r="BL39" s="2" t="str">
        <f t="shared" si="953"/>
        <v/>
      </c>
      <c r="BM39" s="2" t="str">
        <f t="shared" si="953"/>
        <v/>
      </c>
      <c r="BN39" s="2" t="str">
        <f t="shared" si="953"/>
        <v/>
      </c>
      <c r="BO39" s="2" t="str">
        <f t="shared" si="953"/>
        <v/>
      </c>
      <c r="BP39" s="2" t="str">
        <f t="shared" si="953"/>
        <v/>
      </c>
      <c r="BQ39" s="2" t="str">
        <f t="shared" si="953"/>
        <v/>
      </c>
      <c r="BR39" s="2" t="str">
        <f t="shared" si="953"/>
        <v/>
      </c>
      <c r="BS39" s="2" t="str">
        <f t="shared" si="953"/>
        <v/>
      </c>
      <c r="BT39" s="2" t="str">
        <f t="shared" si="953"/>
        <v/>
      </c>
      <c r="BU39" s="2" t="str">
        <f t="shared" si="953"/>
        <v/>
      </c>
      <c r="BV39" s="2" t="str">
        <f t="shared" si="953"/>
        <v/>
      </c>
      <c r="BW39" s="2" t="str">
        <f t="shared" si="953"/>
        <v/>
      </c>
      <c r="BX39" s="2" t="str">
        <f t="shared" si="953"/>
        <v/>
      </c>
      <c r="BY39" s="2" t="str">
        <f t="shared" si="953"/>
        <v/>
      </c>
    </row>
    <row r="40" spans="1:78" x14ac:dyDescent="0.3">
      <c r="A40" s="15"/>
      <c r="B40" s="15"/>
      <c r="C40" s="15"/>
      <c r="D40" s="4">
        <v>46177</v>
      </c>
      <c r="E40" s="4">
        <v>46178</v>
      </c>
      <c r="F40" s="13"/>
      <c r="G40" s="13"/>
      <c r="H40" s="2" t="str">
        <f>IF($B39="","",IF(AND($D40&lt;=H$3,$E40&gt;=H$3),"ac",""))</f>
        <v/>
      </c>
      <c r="I40" s="2" t="str">
        <f t="shared" ref="I40" si="954">IF($B39="","",IF(AND($D40&lt;=I$3,$E40&gt;=I$3),"ac",""))</f>
        <v/>
      </c>
      <c r="J40" s="2" t="str">
        <f t="shared" ref="J40" si="955">IF($B39="","",IF(AND($D40&lt;=J$3,$E40&gt;=J$3),"ac",""))</f>
        <v/>
      </c>
      <c r="K40" s="2" t="str">
        <f t="shared" ref="K40" si="956">IF($B39="","",IF(AND($D40&lt;=K$3,$E40&gt;=K$3),"ac",""))</f>
        <v/>
      </c>
      <c r="L40" s="2" t="str">
        <f t="shared" ref="L40" si="957">IF($B39="","",IF(AND($D40&lt;=L$3,$E40&gt;=L$3),"ac",""))</f>
        <v/>
      </c>
      <c r="M40" s="2" t="str">
        <f t="shared" ref="M40" si="958">IF($B39="","",IF(AND($D40&lt;=M$3,$E40&gt;=M$3),"ac",""))</f>
        <v/>
      </c>
      <c r="N40" s="2" t="str">
        <f t="shared" ref="N40" si="959">IF($B39="","",IF(AND($D40&lt;=N$3,$E40&gt;=N$3),"ac",""))</f>
        <v/>
      </c>
      <c r="O40" s="2" t="str">
        <f t="shared" ref="O40" si="960">IF($B39="","",IF(AND($D40&lt;=O$3,$E40&gt;=O$3),"ac",""))</f>
        <v/>
      </c>
      <c r="P40" s="2" t="str">
        <f t="shared" ref="P40" si="961">IF($B39="","",IF(AND($D40&lt;=P$3,$E40&gt;=P$3),"ac",""))</f>
        <v/>
      </c>
      <c r="Q40" s="2" t="str">
        <f t="shared" ref="Q40" si="962">IF($B39="","",IF(AND($D40&lt;=Q$3,$E40&gt;=Q$3),"ac",""))</f>
        <v/>
      </c>
      <c r="R40" s="2" t="str">
        <f t="shared" ref="R40" si="963">IF($B39="","",IF(AND($D40&lt;=R$3,$E40&gt;=R$3),"ac",""))</f>
        <v/>
      </c>
      <c r="S40" s="2" t="str">
        <f t="shared" ref="S40" si="964">IF($B39="","",IF(AND($D40&lt;=S$3,$E40&gt;=S$3),"ac",""))</f>
        <v/>
      </c>
      <c r="T40" s="2" t="str">
        <f t="shared" ref="T40" si="965">IF($B39="","",IF(AND($D40&lt;=T$3,$E40&gt;=T$3),"ac",""))</f>
        <v/>
      </c>
      <c r="U40" s="2" t="str">
        <f t="shared" ref="U40" si="966">IF($B39="","",IF(AND($D40&lt;=U$3,$E40&gt;=U$3),"ac",""))</f>
        <v/>
      </c>
      <c r="V40" s="2" t="str">
        <f t="shared" ref="V40" si="967">IF($B39="","",IF(AND($D40&lt;=V$3,$E40&gt;=V$3),"ac",""))</f>
        <v/>
      </c>
      <c r="W40" s="2" t="str">
        <f t="shared" ref="W40" si="968">IF($B39="","",IF(AND($D40&lt;=W$3,$E40&gt;=W$3),"ac",""))</f>
        <v/>
      </c>
      <c r="X40" s="2" t="str">
        <f t="shared" ref="X40" si="969">IF($B39="","",IF(AND($D40&lt;=X$3,$E40&gt;=X$3),"ac",""))</f>
        <v/>
      </c>
      <c r="Y40" s="2" t="str">
        <f t="shared" ref="Y40" si="970">IF($B39="","",IF(AND($D40&lt;=Y$3,$E40&gt;=Y$3),"ac",""))</f>
        <v/>
      </c>
      <c r="Z40" s="2" t="str">
        <f t="shared" ref="Z40" si="971">IF($B39="","",IF(AND($D40&lt;=Z$3,$E40&gt;=Z$3),"ac",""))</f>
        <v/>
      </c>
      <c r="AA40" s="2" t="str">
        <f t="shared" ref="AA40" si="972">IF($B39="","",IF(AND($D40&lt;=AA$3,$E40&gt;=AA$3),"ac",""))</f>
        <v/>
      </c>
      <c r="AB40" s="2" t="str">
        <f t="shared" ref="AB40" si="973">IF($B39="","",IF(AND($D40&lt;=AB$3,$E40&gt;=AB$3),"ac",""))</f>
        <v/>
      </c>
      <c r="AC40" s="2" t="str">
        <f t="shared" ref="AC40" si="974">IF($B39="","",IF(AND($D40&lt;=AC$3,$E40&gt;=AC$3),"ac",""))</f>
        <v/>
      </c>
      <c r="AD40" s="2" t="str">
        <f t="shared" ref="AD40" si="975">IF($B39="","",IF(AND($D40&lt;=AD$3,$E40&gt;=AD$3),"ac",""))</f>
        <v/>
      </c>
      <c r="AE40" s="2" t="str">
        <f t="shared" ref="AE40" si="976">IF($B39="","",IF(AND($D40&lt;=AE$3,$E40&gt;=AE$3),"ac",""))</f>
        <v/>
      </c>
      <c r="AF40" s="2" t="str">
        <f t="shared" ref="AF40" si="977">IF($B39="","",IF(AND($D40&lt;=AF$3,$E40&gt;=AF$3),"ac",""))</f>
        <v/>
      </c>
      <c r="AG40" s="2" t="str">
        <f t="shared" ref="AG40" si="978">IF($B39="","",IF(AND($D40&lt;=AG$3,$E40&gt;=AG$3),"ac",""))</f>
        <v/>
      </c>
      <c r="AH40" s="2" t="str">
        <f t="shared" ref="AH40" si="979">IF($B39="","",IF(AND($D40&lt;=AH$3,$E40&gt;=AH$3),"ac",""))</f>
        <v/>
      </c>
      <c r="AI40" s="2" t="str">
        <f t="shared" ref="AI40" si="980">IF($B39="","",IF(AND($D40&lt;=AI$3,$E40&gt;=AI$3),"ac",""))</f>
        <v/>
      </c>
      <c r="AJ40" s="2" t="str">
        <f t="shared" ref="AJ40" si="981">IF($B39="","",IF(AND($D40&lt;=AJ$3,$E40&gt;=AJ$3),"ac",""))</f>
        <v/>
      </c>
      <c r="AK40" s="2" t="str">
        <f t="shared" ref="AK40" si="982">IF($B39="","",IF(AND($D40&lt;=AK$3,$E40&gt;=AK$3),"ac",""))</f>
        <v/>
      </c>
      <c r="AL40" s="2" t="str">
        <f t="shared" ref="AL40" si="983">IF($B39="","",IF(AND($D40&lt;=AL$3,$E40&gt;=AL$3),"ac",""))</f>
        <v/>
      </c>
      <c r="AM40" s="2" t="str">
        <f t="shared" ref="AM40" si="984">IF($B39="","",IF(AND($D40&lt;=AM$3,$E40&gt;=AM$3),"ac",""))</f>
        <v/>
      </c>
      <c r="AN40" s="2" t="str">
        <f t="shared" ref="AN40" si="985">IF($B39="","",IF(AND($D40&lt;=AN$3,$E40&gt;=AN$3),"ac",""))</f>
        <v/>
      </c>
      <c r="AO40" s="2" t="str">
        <f t="shared" ref="AO40" si="986">IF($B39="","",IF(AND($D40&lt;=AO$3,$E40&gt;=AO$3),"ac",""))</f>
        <v/>
      </c>
      <c r="AP40" s="2" t="str">
        <f t="shared" ref="AP40" si="987">IF($B39="","",IF(AND($D40&lt;=AP$3,$E40&gt;=AP$3),"ac",""))</f>
        <v/>
      </c>
      <c r="AQ40" s="2" t="str">
        <f t="shared" ref="AQ40" si="988">IF($B39="","",IF(AND($D40&lt;=AQ$3,$E40&gt;=AQ$3),"ac",""))</f>
        <v/>
      </c>
      <c r="AR40" s="2" t="str">
        <f t="shared" ref="AR40" si="989">IF($B39="","",IF(AND($D40&lt;=AR$3,$E40&gt;=AR$3),"ac",""))</f>
        <v/>
      </c>
      <c r="AS40" s="2" t="str">
        <f t="shared" ref="AS40" si="990">IF($B39="","",IF(AND($D40&lt;=AS$3,$E40&gt;=AS$3),"ac",""))</f>
        <v/>
      </c>
      <c r="AT40" s="2" t="str">
        <f t="shared" ref="AT40" si="991">IF($B39="","",IF(AND($D40&lt;=AT$3,$E40&gt;=AT$3),"ac",""))</f>
        <v>ac</v>
      </c>
      <c r="AU40" s="2" t="str">
        <f t="shared" ref="AU40" si="992">IF($B39="","",IF(AND($D40&lt;=AU$3,$E40&gt;=AU$3),"ac",""))</f>
        <v>ac</v>
      </c>
      <c r="AV40" s="2" t="str">
        <f t="shared" ref="AV40" si="993">IF($B39="","",IF(AND($D40&lt;=AV$3,$E40&gt;=AV$3),"ac",""))</f>
        <v/>
      </c>
      <c r="AW40" s="2" t="str">
        <f t="shared" ref="AW40" si="994">IF($B39="","",IF(AND($D40&lt;=AW$3,$E40&gt;=AW$3),"ac",""))</f>
        <v/>
      </c>
      <c r="AX40" s="2" t="str">
        <f t="shared" ref="AX40" si="995">IF($B39="","",IF(AND($D40&lt;=AX$3,$E40&gt;=AX$3),"ac",""))</f>
        <v/>
      </c>
      <c r="AY40" s="2" t="str">
        <f t="shared" ref="AY40" si="996">IF($B39="","",IF(AND($D40&lt;=AY$3,$E40&gt;=AY$3),"ac",""))</f>
        <v/>
      </c>
      <c r="AZ40" s="2" t="str">
        <f t="shared" ref="AZ40" si="997">IF($B39="","",IF(AND($D40&lt;=AZ$3,$E40&gt;=AZ$3),"ac",""))</f>
        <v/>
      </c>
      <c r="BA40" s="2" t="str">
        <f t="shared" ref="BA40" si="998">IF($B39="","",IF(AND($D40&lt;=BA$3,$E40&gt;=BA$3),"ac",""))</f>
        <v/>
      </c>
      <c r="BB40" s="2" t="str">
        <f t="shared" ref="BB40" si="999">IF($B39="","",IF(AND($D40&lt;=BB$3,$E40&gt;=BB$3),"ac",""))</f>
        <v/>
      </c>
      <c r="BC40" s="2" t="str">
        <f t="shared" ref="BC40" si="1000">IF($B39="","",IF(AND($D40&lt;=BC$3,$E40&gt;=BC$3),"ac",""))</f>
        <v/>
      </c>
      <c r="BD40" s="2" t="str">
        <f t="shared" ref="BD40" si="1001">IF($B39="","",IF(AND($D40&lt;=BD$3,$E40&gt;=BD$3),"ac",""))</f>
        <v/>
      </c>
      <c r="BE40" s="2" t="str">
        <f t="shared" ref="BE40" si="1002">IF($B39="","",IF(AND($D40&lt;=BE$3,$E40&gt;=BE$3),"ac",""))</f>
        <v/>
      </c>
      <c r="BF40" s="2" t="str">
        <f t="shared" ref="BF40" si="1003">IF($B39="","",IF(AND($D40&lt;=BF$3,$E40&gt;=BF$3),"ac",""))</f>
        <v/>
      </c>
      <c r="BG40" s="2" t="str">
        <f t="shared" ref="BG40" si="1004">IF($B39="","",IF(AND($D40&lt;=BG$3,$E40&gt;=BG$3),"ac",""))</f>
        <v/>
      </c>
      <c r="BH40" s="2" t="str">
        <f t="shared" ref="BH40" si="1005">IF($B39="","",IF(AND($D40&lt;=BH$3,$E40&gt;=BH$3),"ac",""))</f>
        <v/>
      </c>
      <c r="BI40" s="2" t="str">
        <f t="shared" ref="BI40" si="1006">IF($B39="","",IF(AND($D40&lt;=BI$3,$E40&gt;=BI$3),"ac",""))</f>
        <v/>
      </c>
      <c r="BJ40" s="2" t="str">
        <f t="shared" ref="BJ40" si="1007">IF($B39="","",IF(AND($D40&lt;=BJ$3,$E40&gt;=BJ$3),"ac",""))</f>
        <v/>
      </c>
      <c r="BK40" s="2" t="str">
        <f t="shared" ref="BK40" si="1008">IF($B39="","",IF(AND($D40&lt;=BK$3,$E40&gt;=BK$3),"ac",""))</f>
        <v/>
      </c>
      <c r="BL40" s="2" t="str">
        <f t="shared" ref="BL40" si="1009">IF($B39="","",IF(AND($D40&lt;=BL$3,$E40&gt;=BL$3),"ac",""))</f>
        <v/>
      </c>
      <c r="BM40" s="2" t="str">
        <f t="shared" ref="BM40" si="1010">IF($B39="","",IF(AND($D40&lt;=BM$3,$E40&gt;=BM$3),"ac",""))</f>
        <v/>
      </c>
      <c r="BN40" s="2" t="str">
        <f t="shared" ref="BN40" si="1011">IF($B39="","",IF(AND($D40&lt;=BN$3,$E40&gt;=BN$3),"ac",""))</f>
        <v/>
      </c>
      <c r="BO40" s="2" t="str">
        <f t="shared" ref="BO40" si="1012">IF($B39="","",IF(AND($D40&lt;=BO$3,$E40&gt;=BO$3),"ac",""))</f>
        <v/>
      </c>
      <c r="BP40" s="2" t="str">
        <f t="shared" ref="BP40" si="1013">IF($B39="","",IF(AND($D40&lt;=BP$3,$E40&gt;=BP$3),"ac",""))</f>
        <v/>
      </c>
      <c r="BQ40" s="2" t="str">
        <f t="shared" ref="BQ40" si="1014">IF($B39="","",IF(AND($D40&lt;=BQ$3,$E40&gt;=BQ$3),"ac",""))</f>
        <v/>
      </c>
      <c r="BR40" s="2" t="str">
        <f t="shared" ref="BR40" si="1015">IF($B39="","",IF(AND($D40&lt;=BR$3,$E40&gt;=BR$3),"ac",""))</f>
        <v/>
      </c>
      <c r="BS40" s="2" t="str">
        <f t="shared" ref="BS40" si="1016">IF($B39="","",IF(AND($D40&lt;=BS$3,$E40&gt;=BS$3),"ac",""))</f>
        <v/>
      </c>
      <c r="BT40" s="2" t="str">
        <f t="shared" ref="BT40" si="1017">IF($B39="","",IF(AND($D40&lt;=BT$3,$E40&gt;=BT$3),"ac",""))</f>
        <v/>
      </c>
      <c r="BU40" s="2" t="str">
        <f t="shared" ref="BU40" si="1018">IF($B39="","",IF(AND($D40&lt;=BU$3,$E40&gt;=BU$3),"ac",""))</f>
        <v/>
      </c>
      <c r="BV40" s="2" t="str">
        <f t="shared" ref="BV40" si="1019">IF($B39="","",IF(AND($D40&lt;=BV$3,$E40&gt;=BV$3),"ac",""))</f>
        <v/>
      </c>
      <c r="BW40" s="2" t="str">
        <f t="shared" ref="BW40" si="1020">IF($B39="","",IF(AND($D40&lt;=BW$3,$E40&gt;=BW$3),"ac",""))</f>
        <v/>
      </c>
      <c r="BX40" s="2" t="str">
        <f t="shared" ref="BX40" si="1021">IF($B39="","",IF(AND($D40&lt;=BX$3,$E40&gt;=BX$3),"ac",""))</f>
        <v/>
      </c>
      <c r="BY40" s="2" t="str">
        <f t="shared" ref="BY40" si="1022">IF($B39="","",IF(AND($D40&lt;=BY$3,$E40&gt;=BY$3),"ac",""))</f>
        <v/>
      </c>
      <c r="BZ40" s="22"/>
    </row>
    <row r="41" spans="1:78" x14ac:dyDescent="0.3">
      <c r="A41" s="15">
        <v>3.1</v>
      </c>
      <c r="B41" s="15" t="s">
        <v>22</v>
      </c>
      <c r="C41" s="15">
        <f t="shared" si="98"/>
        <v>1</v>
      </c>
      <c r="D41" s="4">
        <v>46179</v>
      </c>
      <c r="E41" s="4">
        <v>46179</v>
      </c>
      <c r="F41" s="13" t="s">
        <v>44</v>
      </c>
      <c r="G41" s="13">
        <v>3.9</v>
      </c>
      <c r="H41" s="2" t="str">
        <f>IF($B41="","",IF(AND($D41&lt;=H$3,$E41&gt;=H$3),"a",""))</f>
        <v/>
      </c>
      <c r="I41" s="2" t="str">
        <f t="shared" si="45"/>
        <v/>
      </c>
      <c r="J41" s="2" t="str">
        <f t="shared" si="45"/>
        <v/>
      </c>
      <c r="K41" s="2" t="str">
        <f t="shared" si="45"/>
        <v/>
      </c>
      <c r="L41" s="2" t="str">
        <f t="shared" si="45"/>
        <v/>
      </c>
      <c r="M41" s="2" t="str">
        <f t="shared" si="45"/>
        <v/>
      </c>
      <c r="N41" s="2" t="str">
        <f t="shared" si="45"/>
        <v/>
      </c>
      <c r="O41" s="2" t="str">
        <f t="shared" ref="O41:BY41" si="1023">IF($B41="","",IF(AND($D41&lt;=O$3,$E41&gt;=O$3),"a",""))</f>
        <v/>
      </c>
      <c r="P41" s="2" t="str">
        <f t="shared" si="1023"/>
        <v/>
      </c>
      <c r="Q41" s="2" t="str">
        <f t="shared" si="1023"/>
        <v/>
      </c>
      <c r="R41" s="2" t="str">
        <f t="shared" si="1023"/>
        <v/>
      </c>
      <c r="S41" s="2" t="str">
        <f t="shared" si="1023"/>
        <v/>
      </c>
      <c r="T41" s="2" t="str">
        <f t="shared" si="1023"/>
        <v/>
      </c>
      <c r="U41" s="2" t="str">
        <f t="shared" si="1023"/>
        <v/>
      </c>
      <c r="V41" s="2" t="str">
        <f t="shared" si="1023"/>
        <v/>
      </c>
      <c r="W41" s="2" t="str">
        <f t="shared" si="1023"/>
        <v/>
      </c>
      <c r="X41" s="2" t="str">
        <f t="shared" si="1023"/>
        <v/>
      </c>
      <c r="Y41" s="2" t="str">
        <f t="shared" si="1023"/>
        <v/>
      </c>
      <c r="Z41" s="2" t="str">
        <f t="shared" si="1023"/>
        <v/>
      </c>
      <c r="AA41" s="2" t="str">
        <f t="shared" si="1023"/>
        <v/>
      </c>
      <c r="AB41" s="2" t="str">
        <f t="shared" si="1023"/>
        <v/>
      </c>
      <c r="AC41" s="2" t="str">
        <f t="shared" si="1023"/>
        <v/>
      </c>
      <c r="AD41" s="2" t="str">
        <f t="shared" si="1023"/>
        <v/>
      </c>
      <c r="AE41" s="2" t="str">
        <f t="shared" si="1023"/>
        <v/>
      </c>
      <c r="AF41" s="2" t="str">
        <f t="shared" si="1023"/>
        <v/>
      </c>
      <c r="AG41" s="2" t="str">
        <f t="shared" si="1023"/>
        <v/>
      </c>
      <c r="AH41" s="2" t="str">
        <f t="shared" si="1023"/>
        <v/>
      </c>
      <c r="AI41" s="2" t="str">
        <f t="shared" si="1023"/>
        <v/>
      </c>
      <c r="AJ41" s="2" t="str">
        <f t="shared" si="1023"/>
        <v/>
      </c>
      <c r="AK41" s="2" t="str">
        <f t="shared" si="1023"/>
        <v/>
      </c>
      <c r="AL41" s="2" t="str">
        <f t="shared" si="1023"/>
        <v/>
      </c>
      <c r="AM41" s="2" t="str">
        <f t="shared" si="1023"/>
        <v/>
      </c>
      <c r="AN41" s="2" t="str">
        <f t="shared" si="1023"/>
        <v/>
      </c>
      <c r="AO41" s="2" t="str">
        <f t="shared" si="1023"/>
        <v/>
      </c>
      <c r="AP41" s="2" t="str">
        <f t="shared" si="1023"/>
        <v/>
      </c>
      <c r="AQ41" s="2" t="str">
        <f t="shared" si="1023"/>
        <v/>
      </c>
      <c r="AR41" s="2" t="str">
        <f t="shared" si="1023"/>
        <v/>
      </c>
      <c r="AS41" s="2" t="str">
        <f t="shared" si="1023"/>
        <v/>
      </c>
      <c r="AT41" s="2" t="str">
        <f t="shared" si="1023"/>
        <v/>
      </c>
      <c r="AU41" s="2" t="str">
        <f t="shared" si="1023"/>
        <v/>
      </c>
      <c r="AV41" s="2" t="str">
        <f t="shared" si="1023"/>
        <v>a</v>
      </c>
      <c r="AW41" s="2" t="str">
        <f t="shared" si="1023"/>
        <v/>
      </c>
      <c r="AX41" s="2" t="str">
        <f t="shared" si="1023"/>
        <v/>
      </c>
      <c r="AY41" s="2" t="str">
        <f t="shared" si="1023"/>
        <v/>
      </c>
      <c r="AZ41" s="2" t="str">
        <f t="shared" si="1023"/>
        <v/>
      </c>
      <c r="BA41" s="2" t="str">
        <f t="shared" si="1023"/>
        <v/>
      </c>
      <c r="BB41" s="2" t="str">
        <f t="shared" si="1023"/>
        <v/>
      </c>
      <c r="BC41" s="2" t="str">
        <f t="shared" si="1023"/>
        <v/>
      </c>
      <c r="BD41" s="2" t="str">
        <f t="shared" si="1023"/>
        <v/>
      </c>
      <c r="BE41" s="2" t="str">
        <f t="shared" si="1023"/>
        <v/>
      </c>
      <c r="BF41" s="2" t="str">
        <f t="shared" si="1023"/>
        <v/>
      </c>
      <c r="BG41" s="2" t="str">
        <f t="shared" si="1023"/>
        <v/>
      </c>
      <c r="BH41" s="2" t="str">
        <f t="shared" si="1023"/>
        <v/>
      </c>
      <c r="BI41" s="2" t="str">
        <f t="shared" si="1023"/>
        <v/>
      </c>
      <c r="BJ41" s="2" t="str">
        <f t="shared" si="1023"/>
        <v/>
      </c>
      <c r="BK41" s="2" t="str">
        <f t="shared" si="1023"/>
        <v/>
      </c>
      <c r="BL41" s="2" t="str">
        <f t="shared" si="1023"/>
        <v/>
      </c>
      <c r="BM41" s="2" t="str">
        <f t="shared" si="1023"/>
        <v/>
      </c>
      <c r="BN41" s="2" t="str">
        <f t="shared" si="1023"/>
        <v/>
      </c>
      <c r="BO41" s="2" t="str">
        <f t="shared" si="1023"/>
        <v/>
      </c>
      <c r="BP41" s="2" t="str">
        <f t="shared" si="1023"/>
        <v/>
      </c>
      <c r="BQ41" s="2" t="str">
        <f t="shared" si="1023"/>
        <v/>
      </c>
      <c r="BR41" s="2" t="str">
        <f t="shared" si="1023"/>
        <v/>
      </c>
      <c r="BS41" s="2" t="str">
        <f t="shared" si="1023"/>
        <v/>
      </c>
      <c r="BT41" s="2" t="str">
        <f t="shared" si="1023"/>
        <v/>
      </c>
      <c r="BU41" s="2" t="str">
        <f t="shared" si="1023"/>
        <v/>
      </c>
      <c r="BV41" s="2" t="str">
        <f t="shared" si="1023"/>
        <v/>
      </c>
      <c r="BW41" s="2" t="str">
        <f t="shared" si="1023"/>
        <v/>
      </c>
      <c r="BX41" s="2" t="str">
        <f t="shared" si="1023"/>
        <v/>
      </c>
      <c r="BY41" s="2" t="str">
        <f t="shared" si="1023"/>
        <v/>
      </c>
    </row>
    <row r="42" spans="1:78" x14ac:dyDescent="0.3">
      <c r="A42" s="15"/>
      <c r="B42" s="15"/>
      <c r="C42" s="15"/>
      <c r="D42" s="4">
        <v>46179</v>
      </c>
      <c r="E42" s="4">
        <v>46179</v>
      </c>
      <c r="F42" s="13"/>
      <c r="G42" s="13"/>
      <c r="H42" s="2" t="str">
        <f>IF($B41="","",IF(AND($D42&lt;=H$3,$E42&gt;=H$3),"ac",""))</f>
        <v/>
      </c>
      <c r="I42" s="2" t="str">
        <f t="shared" ref="I42" si="1024">IF($B41="","",IF(AND($D42&lt;=I$3,$E42&gt;=I$3),"ac",""))</f>
        <v/>
      </c>
      <c r="J42" s="2" t="str">
        <f t="shared" ref="J42" si="1025">IF($B41="","",IF(AND($D42&lt;=J$3,$E42&gt;=J$3),"ac",""))</f>
        <v/>
      </c>
      <c r="K42" s="2" t="str">
        <f t="shared" ref="K42" si="1026">IF($B41="","",IF(AND($D42&lt;=K$3,$E42&gt;=K$3),"ac",""))</f>
        <v/>
      </c>
      <c r="L42" s="2" t="str">
        <f t="shared" ref="L42" si="1027">IF($B41="","",IF(AND($D42&lt;=L$3,$E42&gt;=L$3),"ac",""))</f>
        <v/>
      </c>
      <c r="M42" s="2" t="str">
        <f t="shared" ref="M42" si="1028">IF($B41="","",IF(AND($D42&lt;=M$3,$E42&gt;=M$3),"ac",""))</f>
        <v/>
      </c>
      <c r="N42" s="2" t="str">
        <f t="shared" ref="N42" si="1029">IF($B41="","",IF(AND($D42&lt;=N$3,$E42&gt;=N$3),"ac",""))</f>
        <v/>
      </c>
      <c r="O42" s="2" t="str">
        <f t="shared" ref="O42" si="1030">IF($B41="","",IF(AND($D42&lt;=O$3,$E42&gt;=O$3),"ac",""))</f>
        <v/>
      </c>
      <c r="P42" s="2" t="str">
        <f t="shared" ref="P42" si="1031">IF($B41="","",IF(AND($D42&lt;=P$3,$E42&gt;=P$3),"ac",""))</f>
        <v/>
      </c>
      <c r="Q42" s="2" t="str">
        <f t="shared" ref="Q42" si="1032">IF($B41="","",IF(AND($D42&lt;=Q$3,$E42&gt;=Q$3),"ac",""))</f>
        <v/>
      </c>
      <c r="R42" s="2" t="str">
        <f t="shared" ref="R42" si="1033">IF($B41="","",IF(AND($D42&lt;=R$3,$E42&gt;=R$3),"ac",""))</f>
        <v/>
      </c>
      <c r="S42" s="2" t="str">
        <f t="shared" ref="S42" si="1034">IF($B41="","",IF(AND($D42&lt;=S$3,$E42&gt;=S$3),"ac",""))</f>
        <v/>
      </c>
      <c r="T42" s="2" t="str">
        <f t="shared" ref="T42" si="1035">IF($B41="","",IF(AND($D42&lt;=T$3,$E42&gt;=T$3),"ac",""))</f>
        <v/>
      </c>
      <c r="U42" s="2" t="str">
        <f t="shared" ref="U42" si="1036">IF($B41="","",IF(AND($D42&lt;=U$3,$E42&gt;=U$3),"ac",""))</f>
        <v/>
      </c>
      <c r="V42" s="2" t="str">
        <f t="shared" ref="V42" si="1037">IF($B41="","",IF(AND($D42&lt;=V$3,$E42&gt;=V$3),"ac",""))</f>
        <v/>
      </c>
      <c r="W42" s="2" t="str">
        <f t="shared" ref="W42" si="1038">IF($B41="","",IF(AND($D42&lt;=W$3,$E42&gt;=W$3),"ac",""))</f>
        <v/>
      </c>
      <c r="X42" s="2" t="str">
        <f t="shared" ref="X42" si="1039">IF($B41="","",IF(AND($D42&lt;=X$3,$E42&gt;=X$3),"ac",""))</f>
        <v/>
      </c>
      <c r="Y42" s="2" t="str">
        <f t="shared" ref="Y42" si="1040">IF($B41="","",IF(AND($D42&lt;=Y$3,$E42&gt;=Y$3),"ac",""))</f>
        <v/>
      </c>
      <c r="Z42" s="2" t="str">
        <f t="shared" ref="Z42" si="1041">IF($B41="","",IF(AND($D42&lt;=Z$3,$E42&gt;=Z$3),"ac",""))</f>
        <v/>
      </c>
      <c r="AA42" s="2" t="str">
        <f t="shared" ref="AA42" si="1042">IF($B41="","",IF(AND($D42&lt;=AA$3,$E42&gt;=AA$3),"ac",""))</f>
        <v/>
      </c>
      <c r="AB42" s="2" t="str">
        <f t="shared" ref="AB42" si="1043">IF($B41="","",IF(AND($D42&lt;=AB$3,$E42&gt;=AB$3),"ac",""))</f>
        <v/>
      </c>
      <c r="AC42" s="2" t="str">
        <f t="shared" ref="AC42" si="1044">IF($B41="","",IF(AND($D42&lt;=AC$3,$E42&gt;=AC$3),"ac",""))</f>
        <v/>
      </c>
      <c r="AD42" s="2" t="str">
        <f t="shared" ref="AD42" si="1045">IF($B41="","",IF(AND($D42&lt;=AD$3,$E42&gt;=AD$3),"ac",""))</f>
        <v/>
      </c>
      <c r="AE42" s="2" t="str">
        <f t="shared" ref="AE42" si="1046">IF($B41="","",IF(AND($D42&lt;=AE$3,$E42&gt;=AE$3),"ac",""))</f>
        <v/>
      </c>
      <c r="AF42" s="2" t="str">
        <f t="shared" ref="AF42" si="1047">IF($B41="","",IF(AND($D42&lt;=AF$3,$E42&gt;=AF$3),"ac",""))</f>
        <v/>
      </c>
      <c r="AG42" s="2" t="str">
        <f t="shared" ref="AG42" si="1048">IF($B41="","",IF(AND($D42&lt;=AG$3,$E42&gt;=AG$3),"ac",""))</f>
        <v/>
      </c>
      <c r="AH42" s="2" t="str">
        <f t="shared" ref="AH42" si="1049">IF($B41="","",IF(AND($D42&lt;=AH$3,$E42&gt;=AH$3),"ac",""))</f>
        <v/>
      </c>
      <c r="AI42" s="2" t="str">
        <f t="shared" ref="AI42" si="1050">IF($B41="","",IF(AND($D42&lt;=AI$3,$E42&gt;=AI$3),"ac",""))</f>
        <v/>
      </c>
      <c r="AJ42" s="2" t="str">
        <f t="shared" ref="AJ42" si="1051">IF($B41="","",IF(AND($D42&lt;=AJ$3,$E42&gt;=AJ$3),"ac",""))</f>
        <v/>
      </c>
      <c r="AK42" s="2" t="str">
        <f t="shared" ref="AK42" si="1052">IF($B41="","",IF(AND($D42&lt;=AK$3,$E42&gt;=AK$3),"ac",""))</f>
        <v/>
      </c>
      <c r="AL42" s="2" t="str">
        <f t="shared" ref="AL42" si="1053">IF($B41="","",IF(AND($D42&lt;=AL$3,$E42&gt;=AL$3),"ac",""))</f>
        <v/>
      </c>
      <c r="AM42" s="2" t="str">
        <f t="shared" ref="AM42" si="1054">IF($B41="","",IF(AND($D42&lt;=AM$3,$E42&gt;=AM$3),"ac",""))</f>
        <v/>
      </c>
      <c r="AN42" s="2" t="str">
        <f t="shared" ref="AN42" si="1055">IF($B41="","",IF(AND($D42&lt;=AN$3,$E42&gt;=AN$3),"ac",""))</f>
        <v/>
      </c>
      <c r="AO42" s="2" t="str">
        <f t="shared" ref="AO42" si="1056">IF($B41="","",IF(AND($D42&lt;=AO$3,$E42&gt;=AO$3),"ac",""))</f>
        <v/>
      </c>
      <c r="AP42" s="2" t="str">
        <f t="shared" ref="AP42" si="1057">IF($B41="","",IF(AND($D42&lt;=AP$3,$E42&gt;=AP$3),"ac",""))</f>
        <v/>
      </c>
      <c r="AQ42" s="2" t="str">
        <f t="shared" ref="AQ42" si="1058">IF($B41="","",IF(AND($D42&lt;=AQ$3,$E42&gt;=AQ$3),"ac",""))</f>
        <v/>
      </c>
      <c r="AR42" s="2" t="str">
        <f t="shared" ref="AR42" si="1059">IF($B41="","",IF(AND($D42&lt;=AR$3,$E42&gt;=AR$3),"ac",""))</f>
        <v/>
      </c>
      <c r="AS42" s="2" t="str">
        <f t="shared" ref="AS42" si="1060">IF($B41="","",IF(AND($D42&lt;=AS$3,$E42&gt;=AS$3),"ac",""))</f>
        <v/>
      </c>
      <c r="AT42" s="2" t="str">
        <f t="shared" ref="AT42" si="1061">IF($B41="","",IF(AND($D42&lt;=AT$3,$E42&gt;=AT$3),"ac",""))</f>
        <v/>
      </c>
      <c r="AU42" s="2" t="str">
        <f t="shared" ref="AU42" si="1062">IF($B41="","",IF(AND($D42&lt;=AU$3,$E42&gt;=AU$3),"ac",""))</f>
        <v/>
      </c>
      <c r="AV42" s="2" t="str">
        <f t="shared" ref="AV42" si="1063">IF($B41="","",IF(AND($D42&lt;=AV$3,$E42&gt;=AV$3),"ac",""))</f>
        <v>ac</v>
      </c>
      <c r="AW42" s="2" t="str">
        <f t="shared" ref="AW42" si="1064">IF($B41="","",IF(AND($D42&lt;=AW$3,$E42&gt;=AW$3),"ac",""))</f>
        <v/>
      </c>
      <c r="AX42" s="2" t="str">
        <f t="shared" ref="AX42" si="1065">IF($B41="","",IF(AND($D42&lt;=AX$3,$E42&gt;=AX$3),"ac",""))</f>
        <v/>
      </c>
      <c r="AY42" s="2" t="str">
        <f t="shared" ref="AY42" si="1066">IF($B41="","",IF(AND($D42&lt;=AY$3,$E42&gt;=AY$3),"ac",""))</f>
        <v/>
      </c>
      <c r="AZ42" s="2" t="str">
        <f t="shared" ref="AZ42" si="1067">IF($B41="","",IF(AND($D42&lt;=AZ$3,$E42&gt;=AZ$3),"ac",""))</f>
        <v/>
      </c>
      <c r="BA42" s="2" t="str">
        <f t="shared" ref="BA42" si="1068">IF($B41="","",IF(AND($D42&lt;=BA$3,$E42&gt;=BA$3),"ac",""))</f>
        <v/>
      </c>
      <c r="BB42" s="2" t="str">
        <f t="shared" ref="BB42" si="1069">IF($B41="","",IF(AND($D42&lt;=BB$3,$E42&gt;=BB$3),"ac",""))</f>
        <v/>
      </c>
      <c r="BC42" s="2" t="str">
        <f t="shared" ref="BC42" si="1070">IF($B41="","",IF(AND($D42&lt;=BC$3,$E42&gt;=BC$3),"ac",""))</f>
        <v/>
      </c>
      <c r="BD42" s="2" t="str">
        <f t="shared" ref="BD42" si="1071">IF($B41="","",IF(AND($D42&lt;=BD$3,$E42&gt;=BD$3),"ac",""))</f>
        <v/>
      </c>
      <c r="BE42" s="2" t="str">
        <f t="shared" ref="BE42" si="1072">IF($B41="","",IF(AND($D42&lt;=BE$3,$E42&gt;=BE$3),"ac",""))</f>
        <v/>
      </c>
      <c r="BF42" s="2" t="str">
        <f t="shared" ref="BF42" si="1073">IF($B41="","",IF(AND($D42&lt;=BF$3,$E42&gt;=BF$3),"ac",""))</f>
        <v/>
      </c>
      <c r="BG42" s="2" t="str">
        <f t="shared" ref="BG42" si="1074">IF($B41="","",IF(AND($D42&lt;=BG$3,$E42&gt;=BG$3),"ac",""))</f>
        <v/>
      </c>
      <c r="BH42" s="2" t="str">
        <f t="shared" ref="BH42" si="1075">IF($B41="","",IF(AND($D42&lt;=BH$3,$E42&gt;=BH$3),"ac",""))</f>
        <v/>
      </c>
      <c r="BI42" s="2" t="str">
        <f t="shared" ref="BI42" si="1076">IF($B41="","",IF(AND($D42&lt;=BI$3,$E42&gt;=BI$3),"ac",""))</f>
        <v/>
      </c>
      <c r="BJ42" s="2" t="str">
        <f t="shared" ref="BJ42" si="1077">IF($B41="","",IF(AND($D42&lt;=BJ$3,$E42&gt;=BJ$3),"ac",""))</f>
        <v/>
      </c>
      <c r="BK42" s="2" t="str">
        <f t="shared" ref="BK42" si="1078">IF($B41="","",IF(AND($D42&lt;=BK$3,$E42&gt;=BK$3),"ac",""))</f>
        <v/>
      </c>
      <c r="BL42" s="2" t="str">
        <f t="shared" ref="BL42" si="1079">IF($B41="","",IF(AND($D42&lt;=BL$3,$E42&gt;=BL$3),"ac",""))</f>
        <v/>
      </c>
      <c r="BM42" s="2" t="str">
        <f t="shared" ref="BM42" si="1080">IF($B41="","",IF(AND($D42&lt;=BM$3,$E42&gt;=BM$3),"ac",""))</f>
        <v/>
      </c>
      <c r="BN42" s="2" t="str">
        <f t="shared" ref="BN42" si="1081">IF($B41="","",IF(AND($D42&lt;=BN$3,$E42&gt;=BN$3),"ac",""))</f>
        <v/>
      </c>
      <c r="BO42" s="2" t="str">
        <f t="shared" ref="BO42" si="1082">IF($B41="","",IF(AND($D42&lt;=BO$3,$E42&gt;=BO$3),"ac",""))</f>
        <v/>
      </c>
      <c r="BP42" s="2" t="str">
        <f t="shared" ref="BP42" si="1083">IF($B41="","",IF(AND($D42&lt;=BP$3,$E42&gt;=BP$3),"ac",""))</f>
        <v/>
      </c>
      <c r="BQ42" s="2" t="str">
        <f t="shared" ref="BQ42" si="1084">IF($B41="","",IF(AND($D42&lt;=BQ$3,$E42&gt;=BQ$3),"ac",""))</f>
        <v/>
      </c>
      <c r="BR42" s="2" t="str">
        <f t="shared" ref="BR42" si="1085">IF($B41="","",IF(AND($D42&lt;=BR$3,$E42&gt;=BR$3),"ac",""))</f>
        <v/>
      </c>
      <c r="BS42" s="2" t="str">
        <f t="shared" ref="BS42" si="1086">IF($B41="","",IF(AND($D42&lt;=BS$3,$E42&gt;=BS$3),"ac",""))</f>
        <v/>
      </c>
      <c r="BT42" s="2" t="str">
        <f t="shared" ref="BT42" si="1087">IF($B41="","",IF(AND($D42&lt;=BT$3,$E42&gt;=BT$3),"ac",""))</f>
        <v/>
      </c>
      <c r="BU42" s="2" t="str">
        <f t="shared" ref="BU42" si="1088">IF($B41="","",IF(AND($D42&lt;=BU$3,$E42&gt;=BU$3),"ac",""))</f>
        <v/>
      </c>
      <c r="BV42" s="2" t="str">
        <f t="shared" ref="BV42" si="1089">IF($B41="","",IF(AND($D42&lt;=BV$3,$E42&gt;=BV$3),"ac",""))</f>
        <v/>
      </c>
      <c r="BW42" s="2" t="str">
        <f t="shared" ref="BW42" si="1090">IF($B41="","",IF(AND($D42&lt;=BW$3,$E42&gt;=BW$3),"ac",""))</f>
        <v/>
      </c>
      <c r="BX42" s="2" t="str">
        <f t="shared" ref="BX42" si="1091">IF($B41="","",IF(AND($D42&lt;=BX$3,$E42&gt;=BX$3),"ac",""))</f>
        <v/>
      </c>
      <c r="BY42" s="2" t="str">
        <f t="shared" ref="BY42" si="1092">IF($B41="","",IF(AND($D42&lt;=BY$3,$E42&gt;=BY$3),"ac",""))</f>
        <v/>
      </c>
    </row>
    <row r="43" spans="1:78" x14ac:dyDescent="0.3">
      <c r="A43" s="15">
        <v>3.11</v>
      </c>
      <c r="B43" s="15" t="s">
        <v>39</v>
      </c>
      <c r="C43" s="15">
        <f t="shared" si="98"/>
        <v>1</v>
      </c>
      <c r="D43" s="4">
        <v>46180</v>
      </c>
      <c r="E43" s="4">
        <v>46180</v>
      </c>
      <c r="F43" s="13" t="s">
        <v>44</v>
      </c>
      <c r="G43" s="13">
        <v>3.1</v>
      </c>
      <c r="H43" s="2" t="str">
        <f>IF($B43="","",IF(AND($D43&lt;=H$3,$E43&gt;=H$3),"a",""))</f>
        <v/>
      </c>
      <c r="I43" s="2" t="str">
        <f t="shared" si="45"/>
        <v/>
      </c>
      <c r="J43" s="2" t="str">
        <f t="shared" si="45"/>
        <v/>
      </c>
      <c r="K43" s="2" t="str">
        <f t="shared" si="45"/>
        <v/>
      </c>
      <c r="L43" s="2" t="str">
        <f t="shared" si="45"/>
        <v/>
      </c>
      <c r="M43" s="2" t="str">
        <f t="shared" si="45"/>
        <v/>
      </c>
      <c r="N43" s="2" t="str">
        <f t="shared" si="45"/>
        <v/>
      </c>
      <c r="O43" s="2" t="str">
        <f t="shared" si="45"/>
        <v/>
      </c>
      <c r="P43" s="2" t="str">
        <f t="shared" si="45"/>
        <v/>
      </c>
      <c r="Q43" s="2" t="str">
        <f t="shared" si="45"/>
        <v/>
      </c>
      <c r="R43" s="2" t="str">
        <f t="shared" ref="R43:BY43" si="1093">IF($B43="","",IF(AND($D43&lt;=R$3,$E43&gt;=R$3),"a",""))</f>
        <v/>
      </c>
      <c r="S43" s="2" t="str">
        <f t="shared" si="1093"/>
        <v/>
      </c>
      <c r="T43" s="2" t="str">
        <f t="shared" si="1093"/>
        <v/>
      </c>
      <c r="U43" s="2" t="str">
        <f t="shared" si="1093"/>
        <v/>
      </c>
      <c r="V43" s="2" t="str">
        <f t="shared" si="1093"/>
        <v/>
      </c>
      <c r="W43" s="2" t="str">
        <f t="shared" si="1093"/>
        <v/>
      </c>
      <c r="X43" s="2" t="str">
        <f t="shared" si="1093"/>
        <v/>
      </c>
      <c r="Y43" s="2" t="str">
        <f t="shared" si="1093"/>
        <v/>
      </c>
      <c r="Z43" s="2" t="str">
        <f t="shared" si="1093"/>
        <v/>
      </c>
      <c r="AA43" s="2" t="str">
        <f t="shared" si="1093"/>
        <v/>
      </c>
      <c r="AB43" s="2" t="str">
        <f t="shared" si="1093"/>
        <v/>
      </c>
      <c r="AC43" s="2" t="str">
        <f t="shared" si="1093"/>
        <v/>
      </c>
      <c r="AD43" s="2" t="str">
        <f t="shared" si="1093"/>
        <v/>
      </c>
      <c r="AE43" s="2" t="str">
        <f t="shared" si="1093"/>
        <v/>
      </c>
      <c r="AF43" s="2" t="str">
        <f t="shared" si="1093"/>
        <v/>
      </c>
      <c r="AG43" s="2" t="str">
        <f t="shared" si="1093"/>
        <v/>
      </c>
      <c r="AH43" s="2" t="str">
        <f t="shared" si="1093"/>
        <v/>
      </c>
      <c r="AI43" s="2" t="str">
        <f t="shared" si="1093"/>
        <v/>
      </c>
      <c r="AJ43" s="2" t="str">
        <f t="shared" si="1093"/>
        <v/>
      </c>
      <c r="AK43" s="2" t="str">
        <f t="shared" si="1093"/>
        <v/>
      </c>
      <c r="AL43" s="2" t="str">
        <f t="shared" si="1093"/>
        <v/>
      </c>
      <c r="AM43" s="2" t="str">
        <f t="shared" si="1093"/>
        <v/>
      </c>
      <c r="AN43" s="2" t="str">
        <f t="shared" si="1093"/>
        <v/>
      </c>
      <c r="AO43" s="2" t="str">
        <f t="shared" si="1093"/>
        <v/>
      </c>
      <c r="AP43" s="2" t="str">
        <f t="shared" si="1093"/>
        <v/>
      </c>
      <c r="AQ43" s="2" t="str">
        <f t="shared" si="1093"/>
        <v/>
      </c>
      <c r="AR43" s="2" t="str">
        <f t="shared" si="1093"/>
        <v/>
      </c>
      <c r="AS43" s="2" t="str">
        <f t="shared" si="1093"/>
        <v/>
      </c>
      <c r="AT43" s="2" t="str">
        <f t="shared" si="1093"/>
        <v/>
      </c>
      <c r="AU43" s="2" t="str">
        <f t="shared" si="1093"/>
        <v/>
      </c>
      <c r="AV43" s="2" t="str">
        <f t="shared" si="1093"/>
        <v/>
      </c>
      <c r="AW43" s="2" t="str">
        <f t="shared" si="1093"/>
        <v>a</v>
      </c>
      <c r="AX43" s="2" t="str">
        <f t="shared" si="1093"/>
        <v/>
      </c>
      <c r="AY43" s="2" t="str">
        <f t="shared" si="1093"/>
        <v/>
      </c>
      <c r="AZ43" s="2" t="str">
        <f t="shared" si="1093"/>
        <v/>
      </c>
      <c r="BA43" s="2" t="str">
        <f t="shared" si="1093"/>
        <v/>
      </c>
      <c r="BB43" s="2" t="str">
        <f t="shared" si="1093"/>
        <v/>
      </c>
      <c r="BC43" s="2" t="str">
        <f t="shared" si="1093"/>
        <v/>
      </c>
      <c r="BD43" s="2" t="str">
        <f t="shared" si="1093"/>
        <v/>
      </c>
      <c r="BE43" s="2" t="str">
        <f t="shared" si="1093"/>
        <v/>
      </c>
      <c r="BF43" s="2" t="str">
        <f t="shared" si="1093"/>
        <v/>
      </c>
      <c r="BG43" s="2" t="str">
        <f t="shared" si="1093"/>
        <v/>
      </c>
      <c r="BH43" s="2" t="str">
        <f t="shared" si="1093"/>
        <v/>
      </c>
      <c r="BI43" s="2" t="str">
        <f t="shared" si="1093"/>
        <v/>
      </c>
      <c r="BJ43" s="2" t="str">
        <f t="shared" si="1093"/>
        <v/>
      </c>
      <c r="BK43" s="2" t="str">
        <f t="shared" si="1093"/>
        <v/>
      </c>
      <c r="BL43" s="2" t="str">
        <f t="shared" si="1093"/>
        <v/>
      </c>
      <c r="BM43" s="2" t="str">
        <f t="shared" si="1093"/>
        <v/>
      </c>
      <c r="BN43" s="2" t="str">
        <f t="shared" si="1093"/>
        <v/>
      </c>
      <c r="BO43" s="2" t="str">
        <f t="shared" si="1093"/>
        <v/>
      </c>
      <c r="BP43" s="2" t="str">
        <f t="shared" si="1093"/>
        <v/>
      </c>
      <c r="BQ43" s="2" t="str">
        <f t="shared" si="1093"/>
        <v/>
      </c>
      <c r="BR43" s="2" t="str">
        <f t="shared" si="1093"/>
        <v/>
      </c>
      <c r="BS43" s="2" t="str">
        <f t="shared" si="1093"/>
        <v/>
      </c>
      <c r="BT43" s="2" t="str">
        <f t="shared" si="1093"/>
        <v/>
      </c>
      <c r="BU43" s="2" t="str">
        <f t="shared" si="1093"/>
        <v/>
      </c>
      <c r="BV43" s="2" t="str">
        <f t="shared" si="1093"/>
        <v/>
      </c>
      <c r="BW43" s="2" t="str">
        <f t="shared" si="1093"/>
        <v/>
      </c>
      <c r="BX43" s="2" t="str">
        <f t="shared" si="1093"/>
        <v/>
      </c>
      <c r="BY43" s="2" t="str">
        <f t="shared" si="1093"/>
        <v/>
      </c>
    </row>
    <row r="44" spans="1:78" x14ac:dyDescent="0.3">
      <c r="A44" s="15"/>
      <c r="B44" s="15"/>
      <c r="C44" s="15"/>
      <c r="D44" s="4">
        <v>46180</v>
      </c>
      <c r="E44" s="4">
        <v>46180</v>
      </c>
      <c r="F44" s="13"/>
      <c r="G44" s="13"/>
      <c r="H44" s="2" t="str">
        <f>IF($B43="","",IF(AND($D44&lt;=H$3,$E44&gt;=H$3),"ac",""))</f>
        <v/>
      </c>
      <c r="I44" s="2" t="str">
        <f t="shared" ref="I44" si="1094">IF($B43="","",IF(AND($D44&lt;=I$3,$E44&gt;=I$3),"ac",""))</f>
        <v/>
      </c>
      <c r="J44" s="2" t="str">
        <f t="shared" ref="J44" si="1095">IF($B43="","",IF(AND($D44&lt;=J$3,$E44&gt;=J$3),"ac",""))</f>
        <v/>
      </c>
      <c r="K44" s="2" t="str">
        <f t="shared" ref="K44" si="1096">IF($B43="","",IF(AND($D44&lt;=K$3,$E44&gt;=K$3),"ac",""))</f>
        <v/>
      </c>
      <c r="L44" s="2" t="str">
        <f t="shared" ref="L44" si="1097">IF($B43="","",IF(AND($D44&lt;=L$3,$E44&gt;=L$3),"ac",""))</f>
        <v/>
      </c>
      <c r="M44" s="2" t="str">
        <f t="shared" ref="M44" si="1098">IF($B43="","",IF(AND($D44&lt;=M$3,$E44&gt;=M$3),"ac",""))</f>
        <v/>
      </c>
      <c r="N44" s="2" t="str">
        <f t="shared" ref="N44" si="1099">IF($B43="","",IF(AND($D44&lt;=N$3,$E44&gt;=N$3),"ac",""))</f>
        <v/>
      </c>
      <c r="O44" s="2" t="str">
        <f t="shared" ref="O44" si="1100">IF($B43="","",IF(AND($D44&lt;=O$3,$E44&gt;=O$3),"ac",""))</f>
        <v/>
      </c>
      <c r="P44" s="2" t="str">
        <f t="shared" ref="P44" si="1101">IF($B43="","",IF(AND($D44&lt;=P$3,$E44&gt;=P$3),"ac",""))</f>
        <v/>
      </c>
      <c r="Q44" s="2" t="str">
        <f t="shared" ref="Q44" si="1102">IF($B43="","",IF(AND($D44&lt;=Q$3,$E44&gt;=Q$3),"ac",""))</f>
        <v/>
      </c>
      <c r="R44" s="2" t="str">
        <f t="shared" ref="R44" si="1103">IF($B43="","",IF(AND($D44&lt;=R$3,$E44&gt;=R$3),"ac",""))</f>
        <v/>
      </c>
      <c r="S44" s="2" t="str">
        <f t="shared" ref="S44" si="1104">IF($B43="","",IF(AND($D44&lt;=S$3,$E44&gt;=S$3),"ac",""))</f>
        <v/>
      </c>
      <c r="T44" s="2" t="str">
        <f t="shared" ref="T44" si="1105">IF($B43="","",IF(AND($D44&lt;=T$3,$E44&gt;=T$3),"ac",""))</f>
        <v/>
      </c>
      <c r="U44" s="2" t="str">
        <f t="shared" ref="U44" si="1106">IF($B43="","",IF(AND($D44&lt;=U$3,$E44&gt;=U$3),"ac",""))</f>
        <v/>
      </c>
      <c r="V44" s="2" t="str">
        <f t="shared" ref="V44" si="1107">IF($B43="","",IF(AND($D44&lt;=V$3,$E44&gt;=V$3),"ac",""))</f>
        <v/>
      </c>
      <c r="W44" s="2" t="str">
        <f t="shared" ref="W44" si="1108">IF($B43="","",IF(AND($D44&lt;=W$3,$E44&gt;=W$3),"ac",""))</f>
        <v/>
      </c>
      <c r="X44" s="2" t="str">
        <f t="shared" ref="X44" si="1109">IF($B43="","",IF(AND($D44&lt;=X$3,$E44&gt;=X$3),"ac",""))</f>
        <v/>
      </c>
      <c r="Y44" s="2" t="str">
        <f t="shared" ref="Y44" si="1110">IF($B43="","",IF(AND($D44&lt;=Y$3,$E44&gt;=Y$3),"ac",""))</f>
        <v/>
      </c>
      <c r="Z44" s="2" t="str">
        <f t="shared" ref="Z44" si="1111">IF($B43="","",IF(AND($D44&lt;=Z$3,$E44&gt;=Z$3),"ac",""))</f>
        <v/>
      </c>
      <c r="AA44" s="2" t="str">
        <f t="shared" ref="AA44" si="1112">IF($B43="","",IF(AND($D44&lt;=AA$3,$E44&gt;=AA$3),"ac",""))</f>
        <v/>
      </c>
      <c r="AB44" s="2" t="str">
        <f t="shared" ref="AB44" si="1113">IF($B43="","",IF(AND($D44&lt;=AB$3,$E44&gt;=AB$3),"ac",""))</f>
        <v/>
      </c>
      <c r="AC44" s="2" t="str">
        <f t="shared" ref="AC44" si="1114">IF($B43="","",IF(AND($D44&lt;=AC$3,$E44&gt;=AC$3),"ac",""))</f>
        <v/>
      </c>
      <c r="AD44" s="2" t="str">
        <f t="shared" ref="AD44" si="1115">IF($B43="","",IF(AND($D44&lt;=AD$3,$E44&gt;=AD$3),"ac",""))</f>
        <v/>
      </c>
      <c r="AE44" s="2" t="str">
        <f t="shared" ref="AE44" si="1116">IF($B43="","",IF(AND($D44&lt;=AE$3,$E44&gt;=AE$3),"ac",""))</f>
        <v/>
      </c>
      <c r="AF44" s="2" t="str">
        <f t="shared" ref="AF44" si="1117">IF($B43="","",IF(AND($D44&lt;=AF$3,$E44&gt;=AF$3),"ac",""))</f>
        <v/>
      </c>
      <c r="AG44" s="2" t="str">
        <f t="shared" ref="AG44" si="1118">IF($B43="","",IF(AND($D44&lt;=AG$3,$E44&gt;=AG$3),"ac",""))</f>
        <v/>
      </c>
      <c r="AH44" s="2" t="str">
        <f t="shared" ref="AH44" si="1119">IF($B43="","",IF(AND($D44&lt;=AH$3,$E44&gt;=AH$3),"ac",""))</f>
        <v/>
      </c>
      <c r="AI44" s="2" t="str">
        <f t="shared" ref="AI44" si="1120">IF($B43="","",IF(AND($D44&lt;=AI$3,$E44&gt;=AI$3),"ac",""))</f>
        <v/>
      </c>
      <c r="AJ44" s="2" t="str">
        <f t="shared" ref="AJ44" si="1121">IF($B43="","",IF(AND($D44&lt;=AJ$3,$E44&gt;=AJ$3),"ac",""))</f>
        <v/>
      </c>
      <c r="AK44" s="2" t="str">
        <f t="shared" ref="AK44" si="1122">IF($B43="","",IF(AND($D44&lt;=AK$3,$E44&gt;=AK$3),"ac",""))</f>
        <v/>
      </c>
      <c r="AL44" s="2" t="str">
        <f t="shared" ref="AL44" si="1123">IF($B43="","",IF(AND($D44&lt;=AL$3,$E44&gt;=AL$3),"ac",""))</f>
        <v/>
      </c>
      <c r="AM44" s="2" t="str">
        <f t="shared" ref="AM44" si="1124">IF($B43="","",IF(AND($D44&lt;=AM$3,$E44&gt;=AM$3),"ac",""))</f>
        <v/>
      </c>
      <c r="AN44" s="2" t="str">
        <f t="shared" ref="AN44" si="1125">IF($B43="","",IF(AND($D44&lt;=AN$3,$E44&gt;=AN$3),"ac",""))</f>
        <v/>
      </c>
      <c r="AO44" s="2" t="str">
        <f t="shared" ref="AO44" si="1126">IF($B43="","",IF(AND($D44&lt;=AO$3,$E44&gt;=AO$3),"ac",""))</f>
        <v/>
      </c>
      <c r="AP44" s="2" t="str">
        <f t="shared" ref="AP44" si="1127">IF($B43="","",IF(AND($D44&lt;=AP$3,$E44&gt;=AP$3),"ac",""))</f>
        <v/>
      </c>
      <c r="AQ44" s="2" t="str">
        <f t="shared" ref="AQ44" si="1128">IF($B43="","",IF(AND($D44&lt;=AQ$3,$E44&gt;=AQ$3),"ac",""))</f>
        <v/>
      </c>
      <c r="AR44" s="2" t="str">
        <f t="shared" ref="AR44" si="1129">IF($B43="","",IF(AND($D44&lt;=AR$3,$E44&gt;=AR$3),"ac",""))</f>
        <v/>
      </c>
      <c r="AS44" s="2" t="str">
        <f t="shared" ref="AS44" si="1130">IF($B43="","",IF(AND($D44&lt;=AS$3,$E44&gt;=AS$3),"ac",""))</f>
        <v/>
      </c>
      <c r="AT44" s="2" t="str">
        <f t="shared" ref="AT44" si="1131">IF($B43="","",IF(AND($D44&lt;=AT$3,$E44&gt;=AT$3),"ac",""))</f>
        <v/>
      </c>
      <c r="AU44" s="2" t="str">
        <f t="shared" ref="AU44" si="1132">IF($B43="","",IF(AND($D44&lt;=AU$3,$E44&gt;=AU$3),"ac",""))</f>
        <v/>
      </c>
      <c r="AV44" s="2" t="str">
        <f t="shared" ref="AV44" si="1133">IF($B43="","",IF(AND($D44&lt;=AV$3,$E44&gt;=AV$3),"ac",""))</f>
        <v/>
      </c>
      <c r="AW44" s="2" t="str">
        <f t="shared" ref="AW44" si="1134">IF($B43="","",IF(AND($D44&lt;=AW$3,$E44&gt;=AW$3),"ac",""))</f>
        <v>ac</v>
      </c>
      <c r="AX44" s="2" t="str">
        <f t="shared" ref="AX44" si="1135">IF($B43="","",IF(AND($D44&lt;=AX$3,$E44&gt;=AX$3),"ac",""))</f>
        <v/>
      </c>
      <c r="AY44" s="2" t="str">
        <f t="shared" ref="AY44" si="1136">IF($B43="","",IF(AND($D44&lt;=AY$3,$E44&gt;=AY$3),"ac",""))</f>
        <v/>
      </c>
      <c r="AZ44" s="2" t="str">
        <f t="shared" ref="AZ44" si="1137">IF($B43="","",IF(AND($D44&lt;=AZ$3,$E44&gt;=AZ$3),"ac",""))</f>
        <v/>
      </c>
      <c r="BA44" s="2" t="str">
        <f t="shared" ref="BA44" si="1138">IF($B43="","",IF(AND($D44&lt;=BA$3,$E44&gt;=BA$3),"ac",""))</f>
        <v/>
      </c>
      <c r="BB44" s="2" t="str">
        <f t="shared" ref="BB44" si="1139">IF($B43="","",IF(AND($D44&lt;=BB$3,$E44&gt;=BB$3),"ac",""))</f>
        <v/>
      </c>
      <c r="BC44" s="2" t="str">
        <f t="shared" ref="BC44" si="1140">IF($B43="","",IF(AND($D44&lt;=BC$3,$E44&gt;=BC$3),"ac",""))</f>
        <v/>
      </c>
      <c r="BD44" s="2" t="str">
        <f t="shared" ref="BD44" si="1141">IF($B43="","",IF(AND($D44&lt;=BD$3,$E44&gt;=BD$3),"ac",""))</f>
        <v/>
      </c>
      <c r="BE44" s="2" t="str">
        <f t="shared" ref="BE44" si="1142">IF($B43="","",IF(AND($D44&lt;=BE$3,$E44&gt;=BE$3),"ac",""))</f>
        <v/>
      </c>
      <c r="BF44" s="2" t="str">
        <f t="shared" ref="BF44" si="1143">IF($B43="","",IF(AND($D44&lt;=BF$3,$E44&gt;=BF$3),"ac",""))</f>
        <v/>
      </c>
      <c r="BG44" s="2" t="str">
        <f t="shared" ref="BG44" si="1144">IF($B43="","",IF(AND($D44&lt;=BG$3,$E44&gt;=BG$3),"ac",""))</f>
        <v/>
      </c>
      <c r="BH44" s="2" t="str">
        <f t="shared" ref="BH44" si="1145">IF($B43="","",IF(AND($D44&lt;=BH$3,$E44&gt;=BH$3),"ac",""))</f>
        <v/>
      </c>
      <c r="BI44" s="2" t="str">
        <f t="shared" ref="BI44" si="1146">IF($B43="","",IF(AND($D44&lt;=BI$3,$E44&gt;=BI$3),"ac",""))</f>
        <v/>
      </c>
      <c r="BJ44" s="2" t="str">
        <f t="shared" ref="BJ44" si="1147">IF($B43="","",IF(AND($D44&lt;=BJ$3,$E44&gt;=BJ$3),"ac",""))</f>
        <v/>
      </c>
      <c r="BK44" s="2" t="str">
        <f t="shared" ref="BK44" si="1148">IF($B43="","",IF(AND($D44&lt;=BK$3,$E44&gt;=BK$3),"ac",""))</f>
        <v/>
      </c>
      <c r="BL44" s="2" t="str">
        <f t="shared" ref="BL44" si="1149">IF($B43="","",IF(AND($D44&lt;=BL$3,$E44&gt;=BL$3),"ac",""))</f>
        <v/>
      </c>
      <c r="BM44" s="2" t="str">
        <f t="shared" ref="BM44" si="1150">IF($B43="","",IF(AND($D44&lt;=BM$3,$E44&gt;=BM$3),"ac",""))</f>
        <v/>
      </c>
      <c r="BN44" s="2" t="str">
        <f t="shared" ref="BN44" si="1151">IF($B43="","",IF(AND($D44&lt;=BN$3,$E44&gt;=BN$3),"ac",""))</f>
        <v/>
      </c>
      <c r="BO44" s="2" t="str">
        <f t="shared" ref="BO44" si="1152">IF($B43="","",IF(AND($D44&lt;=BO$3,$E44&gt;=BO$3),"ac",""))</f>
        <v/>
      </c>
      <c r="BP44" s="2" t="str">
        <f t="shared" ref="BP44" si="1153">IF($B43="","",IF(AND($D44&lt;=BP$3,$E44&gt;=BP$3),"ac",""))</f>
        <v/>
      </c>
      <c r="BQ44" s="2" t="str">
        <f t="shared" ref="BQ44" si="1154">IF($B43="","",IF(AND($D44&lt;=BQ$3,$E44&gt;=BQ$3),"ac",""))</f>
        <v/>
      </c>
      <c r="BR44" s="2" t="str">
        <f t="shared" ref="BR44" si="1155">IF($B43="","",IF(AND($D44&lt;=BR$3,$E44&gt;=BR$3),"ac",""))</f>
        <v/>
      </c>
      <c r="BS44" s="2" t="str">
        <f t="shared" ref="BS44" si="1156">IF($B43="","",IF(AND($D44&lt;=BS$3,$E44&gt;=BS$3),"ac",""))</f>
        <v/>
      </c>
      <c r="BT44" s="2" t="str">
        <f t="shared" ref="BT44" si="1157">IF($B43="","",IF(AND($D44&lt;=BT$3,$E44&gt;=BT$3),"ac",""))</f>
        <v/>
      </c>
      <c r="BU44" s="2" t="str">
        <f t="shared" ref="BU44" si="1158">IF($B43="","",IF(AND($D44&lt;=BU$3,$E44&gt;=BU$3),"ac",""))</f>
        <v/>
      </c>
      <c r="BV44" s="2" t="str">
        <f t="shared" ref="BV44" si="1159">IF($B43="","",IF(AND($D44&lt;=BV$3,$E44&gt;=BV$3),"ac",""))</f>
        <v/>
      </c>
      <c r="BW44" s="2" t="str">
        <f t="shared" ref="BW44" si="1160">IF($B43="","",IF(AND($D44&lt;=BW$3,$E44&gt;=BW$3),"ac",""))</f>
        <v/>
      </c>
      <c r="BX44" s="2" t="str">
        <f t="shared" ref="BX44" si="1161">IF($B43="","",IF(AND($D44&lt;=BX$3,$E44&gt;=BX$3),"ac",""))</f>
        <v/>
      </c>
      <c r="BY44" s="2" t="str">
        <f t="shared" ref="BY44" si="1162">IF($B43="","",IF(AND($D44&lt;=BY$3,$E44&gt;=BY$3),"ac",""))</f>
        <v/>
      </c>
    </row>
    <row r="45" spans="1:78" x14ac:dyDescent="0.3">
      <c r="A45" s="15">
        <v>3.12</v>
      </c>
      <c r="B45" s="15" t="s">
        <v>37</v>
      </c>
      <c r="C45" s="15">
        <f t="shared" si="98"/>
        <v>4</v>
      </c>
      <c r="D45" s="4">
        <v>46181</v>
      </c>
      <c r="E45" s="4">
        <v>46184</v>
      </c>
      <c r="F45" s="13" t="s">
        <v>44</v>
      </c>
      <c r="G45" s="13">
        <v>3.11</v>
      </c>
      <c r="H45" s="2" t="str">
        <f>IF($B45="","",IF(AND($D45&lt;=H$3,$E45&gt;=H$3),"a",""))</f>
        <v/>
      </c>
      <c r="I45" s="2" t="str">
        <f t="shared" si="45"/>
        <v/>
      </c>
      <c r="J45" s="2" t="str">
        <f t="shared" si="45"/>
        <v/>
      </c>
      <c r="K45" s="2" t="str">
        <f t="shared" ref="K45:Z46" si="1163">IF($B45="","",IF(AND($D45&lt;=K$3,$E45&gt;=K$3),"a",""))</f>
        <v/>
      </c>
      <c r="L45" s="2" t="str">
        <f t="shared" si="1163"/>
        <v/>
      </c>
      <c r="M45" s="2" t="str">
        <f t="shared" si="1163"/>
        <v/>
      </c>
      <c r="N45" s="2" t="str">
        <f t="shared" si="1163"/>
        <v/>
      </c>
      <c r="O45" s="2" t="str">
        <f t="shared" si="1163"/>
        <v/>
      </c>
      <c r="P45" s="2" t="str">
        <f t="shared" si="1163"/>
        <v/>
      </c>
      <c r="Q45" s="2" t="str">
        <f t="shared" si="1163"/>
        <v/>
      </c>
      <c r="R45" s="2" t="str">
        <f t="shared" si="1163"/>
        <v/>
      </c>
      <c r="S45" s="2" t="str">
        <f t="shared" si="1163"/>
        <v/>
      </c>
      <c r="T45" s="2" t="str">
        <f t="shared" si="1163"/>
        <v/>
      </c>
      <c r="U45" s="2" t="str">
        <f t="shared" si="1163"/>
        <v/>
      </c>
      <c r="V45" s="2" t="str">
        <f t="shared" si="1163"/>
        <v/>
      </c>
      <c r="W45" s="2" t="str">
        <f t="shared" si="1163"/>
        <v/>
      </c>
      <c r="X45" s="2" t="str">
        <f t="shared" si="1163"/>
        <v/>
      </c>
      <c r="Y45" s="2" t="str">
        <f t="shared" si="1163"/>
        <v/>
      </c>
      <c r="Z45" s="2" t="str">
        <f t="shared" si="1163"/>
        <v/>
      </c>
      <c r="AA45" s="2" t="str">
        <f t="shared" ref="AA45:BY45" si="1164">IF($B45="","",IF(AND($D45&lt;=AA$3,$E45&gt;=AA$3),"a",""))</f>
        <v/>
      </c>
      <c r="AB45" s="2" t="str">
        <f t="shared" si="1164"/>
        <v/>
      </c>
      <c r="AC45" s="2" t="str">
        <f t="shared" si="1164"/>
        <v/>
      </c>
      <c r="AD45" s="2" t="str">
        <f t="shared" si="1164"/>
        <v/>
      </c>
      <c r="AE45" s="2" t="str">
        <f t="shared" si="1164"/>
        <v/>
      </c>
      <c r="AF45" s="2" t="str">
        <f t="shared" si="1164"/>
        <v/>
      </c>
      <c r="AG45" s="2" t="str">
        <f t="shared" si="1164"/>
        <v/>
      </c>
      <c r="AH45" s="2" t="str">
        <f t="shared" si="1164"/>
        <v/>
      </c>
      <c r="AI45" s="2" t="str">
        <f t="shared" si="1164"/>
        <v/>
      </c>
      <c r="AJ45" s="2" t="str">
        <f t="shared" si="1164"/>
        <v/>
      </c>
      <c r="AK45" s="2" t="str">
        <f t="shared" si="1164"/>
        <v/>
      </c>
      <c r="AL45" s="2" t="str">
        <f t="shared" si="1164"/>
        <v/>
      </c>
      <c r="AM45" s="2" t="str">
        <f t="shared" si="1164"/>
        <v/>
      </c>
      <c r="AN45" s="2" t="str">
        <f t="shared" si="1164"/>
        <v/>
      </c>
      <c r="AO45" s="2" t="str">
        <f t="shared" si="1164"/>
        <v/>
      </c>
      <c r="AP45" s="2" t="str">
        <f t="shared" si="1164"/>
        <v/>
      </c>
      <c r="AQ45" s="2" t="str">
        <f t="shared" si="1164"/>
        <v/>
      </c>
      <c r="AR45" s="2" t="str">
        <f t="shared" si="1164"/>
        <v/>
      </c>
      <c r="AS45" s="2" t="str">
        <f t="shared" si="1164"/>
        <v/>
      </c>
      <c r="AT45" s="2" t="str">
        <f t="shared" si="1164"/>
        <v/>
      </c>
      <c r="AU45" s="2" t="str">
        <f t="shared" si="1164"/>
        <v/>
      </c>
      <c r="AV45" s="2" t="str">
        <f t="shared" si="1164"/>
        <v/>
      </c>
      <c r="AW45" s="2" t="str">
        <f t="shared" si="1164"/>
        <v/>
      </c>
      <c r="AX45" s="2" t="str">
        <f t="shared" si="1164"/>
        <v>a</v>
      </c>
      <c r="AY45" s="2" t="str">
        <f t="shared" si="1164"/>
        <v>a</v>
      </c>
      <c r="AZ45" s="2" t="str">
        <f t="shared" si="1164"/>
        <v>a</v>
      </c>
      <c r="BA45" s="2" t="str">
        <f t="shared" si="1164"/>
        <v>a</v>
      </c>
      <c r="BB45" s="2" t="str">
        <f t="shared" si="1164"/>
        <v/>
      </c>
      <c r="BC45" s="2" t="str">
        <f t="shared" si="1164"/>
        <v/>
      </c>
      <c r="BD45" s="2" t="str">
        <f t="shared" si="1164"/>
        <v/>
      </c>
      <c r="BE45" s="2" t="str">
        <f t="shared" si="1164"/>
        <v/>
      </c>
      <c r="BF45" s="2" t="str">
        <f t="shared" si="1164"/>
        <v/>
      </c>
      <c r="BG45" s="2" t="str">
        <f t="shared" si="1164"/>
        <v/>
      </c>
      <c r="BH45" s="2" t="str">
        <f t="shared" si="1164"/>
        <v/>
      </c>
      <c r="BI45" s="2" t="str">
        <f t="shared" si="1164"/>
        <v/>
      </c>
      <c r="BJ45" s="2" t="str">
        <f t="shared" si="1164"/>
        <v/>
      </c>
      <c r="BK45" s="2" t="str">
        <f t="shared" si="1164"/>
        <v/>
      </c>
      <c r="BL45" s="2" t="str">
        <f t="shared" si="1164"/>
        <v/>
      </c>
      <c r="BM45" s="2" t="str">
        <f t="shared" si="1164"/>
        <v/>
      </c>
      <c r="BN45" s="2" t="str">
        <f t="shared" si="1164"/>
        <v/>
      </c>
      <c r="BO45" s="2" t="str">
        <f t="shared" si="1164"/>
        <v/>
      </c>
      <c r="BP45" s="2" t="str">
        <f t="shared" si="1164"/>
        <v/>
      </c>
      <c r="BQ45" s="2" t="str">
        <f t="shared" si="1164"/>
        <v/>
      </c>
      <c r="BR45" s="2" t="str">
        <f t="shared" si="1164"/>
        <v/>
      </c>
      <c r="BS45" s="2" t="str">
        <f t="shared" si="1164"/>
        <v/>
      </c>
      <c r="BT45" s="2" t="str">
        <f t="shared" si="1164"/>
        <v/>
      </c>
      <c r="BU45" s="2" t="str">
        <f t="shared" si="1164"/>
        <v/>
      </c>
      <c r="BV45" s="2" t="str">
        <f t="shared" si="1164"/>
        <v/>
      </c>
      <c r="BW45" s="2" t="str">
        <f t="shared" si="1164"/>
        <v/>
      </c>
      <c r="BX45" s="2" t="str">
        <f t="shared" si="1164"/>
        <v/>
      </c>
      <c r="BY45" s="2" t="str">
        <f t="shared" si="1164"/>
        <v/>
      </c>
    </row>
    <row r="46" spans="1:78" x14ac:dyDescent="0.3">
      <c r="A46" s="15"/>
      <c r="B46" s="15"/>
      <c r="C46" s="15"/>
      <c r="D46" s="4">
        <v>46181</v>
      </c>
      <c r="E46" s="4">
        <v>46184</v>
      </c>
      <c r="F46" s="13"/>
      <c r="G46" s="13"/>
      <c r="H46" s="2" t="str">
        <f>IF($B45="","",IF(AND($D46&lt;=H$3,$E46&gt;=H$3),"ac",""))</f>
        <v/>
      </c>
      <c r="I46" s="2" t="str">
        <f t="shared" ref="I46" si="1165">IF($B45="","",IF(AND($D46&lt;=I$3,$E46&gt;=I$3),"ac",""))</f>
        <v/>
      </c>
      <c r="J46" s="2" t="str">
        <f t="shared" ref="J46" si="1166">IF($B45="","",IF(AND($D46&lt;=J$3,$E46&gt;=J$3),"ac",""))</f>
        <v/>
      </c>
      <c r="K46" s="2" t="str">
        <f t="shared" ref="K46" si="1167">IF($B45="","",IF(AND($D46&lt;=K$3,$E46&gt;=K$3),"ac",""))</f>
        <v/>
      </c>
      <c r="L46" s="2" t="str">
        <f t="shared" ref="L46" si="1168">IF($B45="","",IF(AND($D46&lt;=L$3,$E46&gt;=L$3),"ac",""))</f>
        <v/>
      </c>
      <c r="M46" s="2" t="str">
        <f t="shared" ref="M46" si="1169">IF($B45="","",IF(AND($D46&lt;=M$3,$E46&gt;=M$3),"ac",""))</f>
        <v/>
      </c>
      <c r="N46" s="2" t="str">
        <f t="shared" ref="N46" si="1170">IF($B45="","",IF(AND($D46&lt;=N$3,$E46&gt;=N$3),"ac",""))</f>
        <v/>
      </c>
      <c r="O46" s="2" t="str">
        <f t="shared" ref="O46" si="1171">IF($B45="","",IF(AND($D46&lt;=O$3,$E46&gt;=O$3),"ac",""))</f>
        <v/>
      </c>
      <c r="P46" s="2" t="str">
        <f t="shared" ref="P46" si="1172">IF($B45="","",IF(AND($D46&lt;=P$3,$E46&gt;=P$3),"ac",""))</f>
        <v/>
      </c>
      <c r="Q46" s="2" t="str">
        <f t="shared" ref="Q46" si="1173">IF($B45="","",IF(AND($D46&lt;=Q$3,$E46&gt;=Q$3),"ac",""))</f>
        <v/>
      </c>
      <c r="R46" s="2" t="str">
        <f t="shared" ref="R46" si="1174">IF($B45="","",IF(AND($D46&lt;=R$3,$E46&gt;=R$3),"ac",""))</f>
        <v/>
      </c>
      <c r="S46" s="2" t="str">
        <f t="shared" ref="S46" si="1175">IF($B45="","",IF(AND($D46&lt;=S$3,$E46&gt;=S$3),"ac",""))</f>
        <v/>
      </c>
      <c r="T46" s="2" t="str">
        <f t="shared" ref="T46" si="1176">IF($B45="","",IF(AND($D46&lt;=T$3,$E46&gt;=T$3),"ac",""))</f>
        <v/>
      </c>
      <c r="U46" s="2" t="str">
        <f t="shared" ref="U46" si="1177">IF($B45="","",IF(AND($D46&lt;=U$3,$E46&gt;=U$3),"ac",""))</f>
        <v/>
      </c>
      <c r="V46" s="2" t="str">
        <f t="shared" ref="V46" si="1178">IF($B45="","",IF(AND($D46&lt;=V$3,$E46&gt;=V$3),"ac",""))</f>
        <v/>
      </c>
      <c r="W46" s="2" t="str">
        <f t="shared" ref="W46" si="1179">IF($B45="","",IF(AND($D46&lt;=W$3,$E46&gt;=W$3),"ac",""))</f>
        <v/>
      </c>
      <c r="X46" s="2" t="str">
        <f t="shared" ref="X46" si="1180">IF($B45="","",IF(AND($D46&lt;=X$3,$E46&gt;=X$3),"ac",""))</f>
        <v/>
      </c>
      <c r="Y46" s="2" t="str">
        <f t="shared" ref="Y46" si="1181">IF($B45="","",IF(AND($D46&lt;=Y$3,$E46&gt;=Y$3),"ac",""))</f>
        <v/>
      </c>
      <c r="Z46" s="2" t="str">
        <f t="shared" ref="Z46" si="1182">IF($B45="","",IF(AND($D46&lt;=Z$3,$E46&gt;=Z$3),"ac",""))</f>
        <v/>
      </c>
      <c r="AA46" s="2" t="str">
        <f t="shared" ref="AA46" si="1183">IF($B45="","",IF(AND($D46&lt;=AA$3,$E46&gt;=AA$3),"ac",""))</f>
        <v/>
      </c>
      <c r="AB46" s="2" t="str">
        <f t="shared" ref="AB46" si="1184">IF($B45="","",IF(AND($D46&lt;=AB$3,$E46&gt;=AB$3),"ac",""))</f>
        <v/>
      </c>
      <c r="AC46" s="2" t="str">
        <f t="shared" ref="AC46" si="1185">IF($B45="","",IF(AND($D46&lt;=AC$3,$E46&gt;=AC$3),"ac",""))</f>
        <v/>
      </c>
      <c r="AD46" s="2" t="str">
        <f t="shared" ref="AD46" si="1186">IF($B45="","",IF(AND($D46&lt;=AD$3,$E46&gt;=AD$3),"ac",""))</f>
        <v/>
      </c>
      <c r="AE46" s="2" t="str">
        <f t="shared" ref="AE46" si="1187">IF($B45="","",IF(AND($D46&lt;=AE$3,$E46&gt;=AE$3),"ac",""))</f>
        <v/>
      </c>
      <c r="AF46" s="2" t="str">
        <f t="shared" ref="AF46" si="1188">IF($B45="","",IF(AND($D46&lt;=AF$3,$E46&gt;=AF$3),"ac",""))</f>
        <v/>
      </c>
      <c r="AG46" s="2" t="str">
        <f t="shared" ref="AG46" si="1189">IF($B45="","",IF(AND($D46&lt;=AG$3,$E46&gt;=AG$3),"ac",""))</f>
        <v/>
      </c>
      <c r="AH46" s="2" t="str">
        <f t="shared" ref="AH46" si="1190">IF($B45="","",IF(AND($D46&lt;=AH$3,$E46&gt;=AH$3),"ac",""))</f>
        <v/>
      </c>
      <c r="AI46" s="2" t="str">
        <f t="shared" ref="AI46" si="1191">IF($B45="","",IF(AND($D46&lt;=AI$3,$E46&gt;=AI$3),"ac",""))</f>
        <v/>
      </c>
      <c r="AJ46" s="2" t="str">
        <f t="shared" ref="AJ46" si="1192">IF($B45="","",IF(AND($D46&lt;=AJ$3,$E46&gt;=AJ$3),"ac",""))</f>
        <v/>
      </c>
      <c r="AK46" s="2" t="str">
        <f t="shared" ref="AK46" si="1193">IF($B45="","",IF(AND($D46&lt;=AK$3,$E46&gt;=AK$3),"ac",""))</f>
        <v/>
      </c>
      <c r="AL46" s="2" t="str">
        <f t="shared" ref="AL46" si="1194">IF($B45="","",IF(AND($D46&lt;=AL$3,$E46&gt;=AL$3),"ac",""))</f>
        <v/>
      </c>
      <c r="AM46" s="2" t="str">
        <f t="shared" ref="AM46" si="1195">IF($B45="","",IF(AND($D46&lt;=AM$3,$E46&gt;=AM$3),"ac",""))</f>
        <v/>
      </c>
      <c r="AN46" s="2" t="str">
        <f t="shared" ref="AN46" si="1196">IF($B45="","",IF(AND($D46&lt;=AN$3,$E46&gt;=AN$3),"ac",""))</f>
        <v/>
      </c>
      <c r="AO46" s="2" t="str">
        <f t="shared" ref="AO46" si="1197">IF($B45="","",IF(AND($D46&lt;=AO$3,$E46&gt;=AO$3),"ac",""))</f>
        <v/>
      </c>
      <c r="AP46" s="2" t="str">
        <f t="shared" ref="AP46" si="1198">IF($B45="","",IF(AND($D46&lt;=AP$3,$E46&gt;=AP$3),"ac",""))</f>
        <v/>
      </c>
      <c r="AQ46" s="2" t="str">
        <f t="shared" ref="AQ46" si="1199">IF($B45="","",IF(AND($D46&lt;=AQ$3,$E46&gt;=AQ$3),"ac",""))</f>
        <v/>
      </c>
      <c r="AR46" s="2" t="str">
        <f t="shared" ref="AR46" si="1200">IF($B45="","",IF(AND($D46&lt;=AR$3,$E46&gt;=AR$3),"ac",""))</f>
        <v/>
      </c>
      <c r="AS46" s="2" t="str">
        <f t="shared" ref="AS46" si="1201">IF($B45="","",IF(AND($D46&lt;=AS$3,$E46&gt;=AS$3),"ac",""))</f>
        <v/>
      </c>
      <c r="AT46" s="2" t="str">
        <f t="shared" ref="AT46" si="1202">IF($B45="","",IF(AND($D46&lt;=AT$3,$E46&gt;=AT$3),"ac",""))</f>
        <v/>
      </c>
      <c r="AU46" s="2" t="str">
        <f t="shared" ref="AU46" si="1203">IF($B45="","",IF(AND($D46&lt;=AU$3,$E46&gt;=AU$3),"ac",""))</f>
        <v/>
      </c>
      <c r="AV46" s="2" t="str">
        <f t="shared" ref="AV46" si="1204">IF($B45="","",IF(AND($D46&lt;=AV$3,$E46&gt;=AV$3),"ac",""))</f>
        <v/>
      </c>
      <c r="AW46" s="2" t="str">
        <f t="shared" ref="AW46" si="1205">IF($B45="","",IF(AND($D46&lt;=AW$3,$E46&gt;=AW$3),"ac",""))</f>
        <v/>
      </c>
      <c r="AX46" s="2" t="str">
        <f t="shared" ref="AX46" si="1206">IF($B45="","",IF(AND($D46&lt;=AX$3,$E46&gt;=AX$3),"ac",""))</f>
        <v>ac</v>
      </c>
      <c r="AY46" s="2" t="str">
        <f t="shared" ref="AY46" si="1207">IF($B45="","",IF(AND($D46&lt;=AY$3,$E46&gt;=AY$3),"ac",""))</f>
        <v>ac</v>
      </c>
      <c r="AZ46" s="2" t="str">
        <f t="shared" ref="AZ46" si="1208">IF($B45="","",IF(AND($D46&lt;=AZ$3,$E46&gt;=AZ$3),"ac",""))</f>
        <v>ac</v>
      </c>
      <c r="BA46" s="2" t="str">
        <f t="shared" ref="BA46" si="1209">IF($B45="","",IF(AND($D46&lt;=BA$3,$E46&gt;=BA$3),"ac",""))</f>
        <v>ac</v>
      </c>
      <c r="BB46" s="2" t="str">
        <f t="shared" ref="BB46" si="1210">IF($B45="","",IF(AND($D46&lt;=BB$3,$E46&gt;=BB$3),"ac",""))</f>
        <v/>
      </c>
      <c r="BC46" s="2" t="str">
        <f t="shared" ref="BC46" si="1211">IF($B45="","",IF(AND($D46&lt;=BC$3,$E46&gt;=BC$3),"ac",""))</f>
        <v/>
      </c>
      <c r="BD46" s="2" t="str">
        <f t="shared" ref="BD46" si="1212">IF($B45="","",IF(AND($D46&lt;=BD$3,$E46&gt;=BD$3),"ac",""))</f>
        <v/>
      </c>
      <c r="BE46" s="2" t="str">
        <f t="shared" ref="BE46" si="1213">IF($B45="","",IF(AND($D46&lt;=BE$3,$E46&gt;=BE$3),"ac",""))</f>
        <v/>
      </c>
      <c r="BF46" s="2" t="str">
        <f t="shared" ref="BF46" si="1214">IF($B45="","",IF(AND($D46&lt;=BF$3,$E46&gt;=BF$3),"ac",""))</f>
        <v/>
      </c>
      <c r="BG46" s="2" t="str">
        <f t="shared" ref="BG46" si="1215">IF($B45="","",IF(AND($D46&lt;=BG$3,$E46&gt;=BG$3),"ac",""))</f>
        <v/>
      </c>
      <c r="BH46" s="2" t="str">
        <f t="shared" ref="BH46" si="1216">IF($B45="","",IF(AND($D46&lt;=BH$3,$E46&gt;=BH$3),"ac",""))</f>
        <v/>
      </c>
      <c r="BI46" s="2" t="str">
        <f t="shared" ref="BI46" si="1217">IF($B45="","",IF(AND($D46&lt;=BI$3,$E46&gt;=BI$3),"ac",""))</f>
        <v/>
      </c>
      <c r="BJ46" s="2" t="str">
        <f t="shared" ref="BJ46" si="1218">IF($B45="","",IF(AND($D46&lt;=BJ$3,$E46&gt;=BJ$3),"ac",""))</f>
        <v/>
      </c>
      <c r="BK46" s="2" t="str">
        <f t="shared" ref="BK46" si="1219">IF($B45="","",IF(AND($D46&lt;=BK$3,$E46&gt;=BK$3),"ac",""))</f>
        <v/>
      </c>
      <c r="BL46" s="2" t="str">
        <f t="shared" ref="BL46" si="1220">IF($B45="","",IF(AND($D46&lt;=BL$3,$E46&gt;=BL$3),"ac",""))</f>
        <v/>
      </c>
      <c r="BM46" s="2" t="str">
        <f t="shared" ref="BM46" si="1221">IF($B45="","",IF(AND($D46&lt;=BM$3,$E46&gt;=BM$3),"ac",""))</f>
        <v/>
      </c>
      <c r="BN46" s="2" t="str">
        <f t="shared" ref="BN46" si="1222">IF($B45="","",IF(AND($D46&lt;=BN$3,$E46&gt;=BN$3),"ac",""))</f>
        <v/>
      </c>
      <c r="BO46" s="2" t="str">
        <f t="shared" ref="BO46" si="1223">IF($B45="","",IF(AND($D46&lt;=BO$3,$E46&gt;=BO$3),"ac",""))</f>
        <v/>
      </c>
      <c r="BP46" s="2" t="str">
        <f t="shared" ref="BP46" si="1224">IF($B45="","",IF(AND($D46&lt;=BP$3,$E46&gt;=BP$3),"ac",""))</f>
        <v/>
      </c>
      <c r="BQ46" s="2" t="str">
        <f t="shared" ref="BQ46" si="1225">IF($B45="","",IF(AND($D46&lt;=BQ$3,$E46&gt;=BQ$3),"ac",""))</f>
        <v/>
      </c>
      <c r="BR46" s="2" t="str">
        <f t="shared" ref="BR46" si="1226">IF($B45="","",IF(AND($D46&lt;=BR$3,$E46&gt;=BR$3),"ac",""))</f>
        <v/>
      </c>
      <c r="BS46" s="2" t="str">
        <f t="shared" ref="BS46" si="1227">IF($B45="","",IF(AND($D46&lt;=BS$3,$E46&gt;=BS$3),"ac",""))</f>
        <v/>
      </c>
      <c r="BT46" s="2" t="str">
        <f t="shared" ref="BT46" si="1228">IF($B45="","",IF(AND($D46&lt;=BT$3,$E46&gt;=BT$3),"ac",""))</f>
        <v/>
      </c>
      <c r="BU46" s="2" t="str">
        <f t="shared" ref="BU46" si="1229">IF($B45="","",IF(AND($D46&lt;=BU$3,$E46&gt;=BU$3),"ac",""))</f>
        <v/>
      </c>
      <c r="BV46" s="2" t="str">
        <f t="shared" ref="BV46" si="1230">IF($B45="","",IF(AND($D46&lt;=BV$3,$E46&gt;=BV$3),"ac",""))</f>
        <v/>
      </c>
      <c r="BW46" s="2" t="str">
        <f t="shared" ref="BW46" si="1231">IF($B45="","",IF(AND($D46&lt;=BW$3,$E46&gt;=BW$3),"ac",""))</f>
        <v/>
      </c>
      <c r="BX46" s="2" t="str">
        <f t="shared" ref="BX46" si="1232">IF($B45="","",IF(AND($D46&lt;=BX$3,$E46&gt;=BX$3),"ac",""))</f>
        <v/>
      </c>
      <c r="BY46" s="2" t="str">
        <f t="shared" ref="BY46" si="1233">IF($B45="","",IF(AND($D46&lt;=BY$3,$E46&gt;=BY$3),"ac",""))</f>
        <v/>
      </c>
    </row>
    <row r="47" spans="1:78" s="1" customFormat="1" ht="20.25" x14ac:dyDescent="0.3">
      <c r="A47" s="17">
        <v>4</v>
      </c>
      <c r="B47" s="18" t="s">
        <v>23</v>
      </c>
      <c r="C47" s="17">
        <f t="shared" si="98"/>
        <v>5</v>
      </c>
      <c r="D47" s="19">
        <v>46185</v>
      </c>
      <c r="E47" s="19">
        <v>46189</v>
      </c>
      <c r="F47" s="17" t="s">
        <v>3</v>
      </c>
      <c r="G47" s="17">
        <v>3</v>
      </c>
      <c r="H47" s="2" t="str">
        <f>IF($B47="","",IF(AND($D47&lt;=H$3,$E47&gt;=H$3),"a",""))</f>
        <v/>
      </c>
      <c r="I47" s="2" t="str">
        <f t="shared" ref="I47:X48" si="1234">IF($B47="","",IF(AND($D47&lt;=I$3,$E47&gt;=I$3),"a",""))</f>
        <v/>
      </c>
      <c r="J47" s="2" t="str">
        <f t="shared" si="1234"/>
        <v/>
      </c>
      <c r="K47" s="2" t="str">
        <f t="shared" si="1234"/>
        <v/>
      </c>
      <c r="L47" s="2" t="str">
        <f t="shared" si="1234"/>
        <v/>
      </c>
      <c r="M47" s="2" t="str">
        <f t="shared" si="1234"/>
        <v/>
      </c>
      <c r="N47" s="2" t="str">
        <f t="shared" si="1234"/>
        <v/>
      </c>
      <c r="O47" s="2" t="str">
        <f t="shared" si="1234"/>
        <v/>
      </c>
      <c r="P47" s="2" t="str">
        <f t="shared" si="1234"/>
        <v/>
      </c>
      <c r="Q47" s="2" t="str">
        <f t="shared" si="1234"/>
        <v/>
      </c>
      <c r="R47" s="2" t="str">
        <f t="shared" si="1234"/>
        <v/>
      </c>
      <c r="S47" s="2" t="str">
        <f t="shared" si="1234"/>
        <v/>
      </c>
      <c r="T47" s="2" t="str">
        <f t="shared" si="1234"/>
        <v/>
      </c>
      <c r="U47" s="2" t="str">
        <f t="shared" si="1234"/>
        <v/>
      </c>
      <c r="V47" s="2" t="str">
        <f t="shared" si="1234"/>
        <v/>
      </c>
      <c r="W47" s="2" t="str">
        <f t="shared" si="1234"/>
        <v/>
      </c>
      <c r="X47" s="2" t="str">
        <f t="shared" si="1234"/>
        <v/>
      </c>
      <c r="Y47" s="2" t="str">
        <f t="shared" ref="Y47:BY47" si="1235">IF($B47="","",IF(AND($D47&lt;=Y$3,$E47&gt;=Y$3),"a",""))</f>
        <v/>
      </c>
      <c r="Z47" s="2" t="str">
        <f t="shared" si="1235"/>
        <v/>
      </c>
      <c r="AA47" s="2" t="str">
        <f t="shared" si="1235"/>
        <v/>
      </c>
      <c r="AB47" s="2" t="str">
        <f t="shared" si="1235"/>
        <v/>
      </c>
      <c r="AC47" s="2" t="str">
        <f t="shared" si="1235"/>
        <v/>
      </c>
      <c r="AD47" s="2" t="str">
        <f t="shared" si="1235"/>
        <v/>
      </c>
      <c r="AE47" s="2" t="str">
        <f t="shared" si="1235"/>
        <v/>
      </c>
      <c r="AF47" s="2" t="str">
        <f t="shared" si="1235"/>
        <v/>
      </c>
      <c r="AG47" s="2" t="str">
        <f t="shared" si="1235"/>
        <v/>
      </c>
      <c r="AH47" s="2" t="str">
        <f t="shared" si="1235"/>
        <v/>
      </c>
      <c r="AI47" s="2" t="str">
        <f t="shared" si="1235"/>
        <v/>
      </c>
      <c r="AJ47" s="2" t="str">
        <f t="shared" si="1235"/>
        <v/>
      </c>
      <c r="AK47" s="2" t="str">
        <f t="shared" si="1235"/>
        <v/>
      </c>
      <c r="AL47" s="2" t="str">
        <f t="shared" si="1235"/>
        <v/>
      </c>
      <c r="AM47" s="2" t="str">
        <f t="shared" si="1235"/>
        <v/>
      </c>
      <c r="AN47" s="2" t="str">
        <f t="shared" si="1235"/>
        <v/>
      </c>
      <c r="AO47" s="2" t="str">
        <f t="shared" si="1235"/>
        <v/>
      </c>
      <c r="AP47" s="2" t="str">
        <f t="shared" si="1235"/>
        <v/>
      </c>
      <c r="AQ47" s="2" t="str">
        <f t="shared" si="1235"/>
        <v/>
      </c>
      <c r="AR47" s="2" t="str">
        <f t="shared" si="1235"/>
        <v/>
      </c>
      <c r="AS47" s="2" t="str">
        <f t="shared" si="1235"/>
        <v/>
      </c>
      <c r="AT47" s="2" t="str">
        <f t="shared" si="1235"/>
        <v/>
      </c>
      <c r="AU47" s="2" t="str">
        <f t="shared" si="1235"/>
        <v/>
      </c>
      <c r="AV47" s="2" t="str">
        <f t="shared" si="1235"/>
        <v/>
      </c>
      <c r="AW47" s="2" t="str">
        <f t="shared" si="1235"/>
        <v/>
      </c>
      <c r="AX47" s="2" t="str">
        <f t="shared" si="1235"/>
        <v/>
      </c>
      <c r="AY47" s="2" t="str">
        <f t="shared" si="1235"/>
        <v/>
      </c>
      <c r="AZ47" s="2" t="str">
        <f t="shared" si="1235"/>
        <v/>
      </c>
      <c r="BA47" s="2" t="str">
        <f t="shared" si="1235"/>
        <v/>
      </c>
      <c r="BB47" s="2" t="str">
        <f t="shared" si="1235"/>
        <v>a</v>
      </c>
      <c r="BC47" s="2" t="str">
        <f t="shared" si="1235"/>
        <v>a</v>
      </c>
      <c r="BD47" s="2" t="str">
        <f t="shared" si="1235"/>
        <v>a</v>
      </c>
      <c r="BE47" s="2" t="str">
        <f t="shared" si="1235"/>
        <v>a</v>
      </c>
      <c r="BF47" s="2" t="str">
        <f t="shared" si="1235"/>
        <v>a</v>
      </c>
      <c r="BG47" s="2" t="str">
        <f t="shared" si="1235"/>
        <v/>
      </c>
      <c r="BH47" s="2" t="str">
        <f t="shared" si="1235"/>
        <v/>
      </c>
      <c r="BI47" s="2" t="str">
        <f t="shared" si="1235"/>
        <v/>
      </c>
      <c r="BJ47" s="2" t="str">
        <f t="shared" si="1235"/>
        <v/>
      </c>
      <c r="BK47" s="2" t="str">
        <f t="shared" si="1235"/>
        <v/>
      </c>
      <c r="BL47" s="2" t="str">
        <f t="shared" si="1235"/>
        <v/>
      </c>
      <c r="BM47" s="2" t="str">
        <f t="shared" si="1235"/>
        <v/>
      </c>
      <c r="BN47" s="2" t="str">
        <f t="shared" si="1235"/>
        <v/>
      </c>
      <c r="BO47" s="2" t="str">
        <f t="shared" si="1235"/>
        <v/>
      </c>
      <c r="BP47" s="2" t="str">
        <f t="shared" si="1235"/>
        <v/>
      </c>
      <c r="BQ47" s="2" t="str">
        <f t="shared" si="1235"/>
        <v/>
      </c>
      <c r="BR47" s="2" t="str">
        <f t="shared" si="1235"/>
        <v/>
      </c>
      <c r="BS47" s="2" t="str">
        <f t="shared" si="1235"/>
        <v/>
      </c>
      <c r="BT47" s="2" t="str">
        <f t="shared" si="1235"/>
        <v/>
      </c>
      <c r="BU47" s="2" t="str">
        <f t="shared" si="1235"/>
        <v/>
      </c>
      <c r="BV47" s="2" t="str">
        <f t="shared" si="1235"/>
        <v/>
      </c>
      <c r="BW47" s="2" t="str">
        <f t="shared" si="1235"/>
        <v/>
      </c>
      <c r="BX47" s="2" t="str">
        <f t="shared" si="1235"/>
        <v/>
      </c>
      <c r="BY47" s="2" t="str">
        <f t="shared" si="1235"/>
        <v/>
      </c>
    </row>
    <row r="48" spans="1:78" s="1" customFormat="1" ht="20.25" x14ac:dyDescent="0.3">
      <c r="A48" s="17"/>
      <c r="B48" s="17"/>
      <c r="C48" s="17"/>
      <c r="D48" s="19">
        <v>46185</v>
      </c>
      <c r="E48" s="19">
        <v>46189</v>
      </c>
      <c r="F48" s="17"/>
      <c r="G48" s="17"/>
      <c r="H48" s="2" t="str">
        <f>IF($B47="","",IF(AND($D48&lt;=H$3,$E48&gt;=H$3),"ac",""))</f>
        <v/>
      </c>
      <c r="I48" s="2" t="str">
        <f t="shared" ref="I48" si="1236">IF($B47="","",IF(AND($D48&lt;=I$3,$E48&gt;=I$3),"ac",""))</f>
        <v/>
      </c>
      <c r="J48" s="2" t="str">
        <f t="shared" ref="J48" si="1237">IF($B47="","",IF(AND($D48&lt;=J$3,$E48&gt;=J$3),"ac",""))</f>
        <v/>
      </c>
      <c r="K48" s="2" t="str">
        <f t="shared" ref="K48" si="1238">IF($B47="","",IF(AND($D48&lt;=K$3,$E48&gt;=K$3),"ac",""))</f>
        <v/>
      </c>
      <c r="L48" s="2" t="str">
        <f t="shared" ref="L48" si="1239">IF($B47="","",IF(AND($D48&lt;=L$3,$E48&gt;=L$3),"ac",""))</f>
        <v/>
      </c>
      <c r="M48" s="2" t="str">
        <f t="shared" ref="M48" si="1240">IF($B47="","",IF(AND($D48&lt;=M$3,$E48&gt;=M$3),"ac",""))</f>
        <v/>
      </c>
      <c r="N48" s="2" t="str">
        <f t="shared" ref="N48" si="1241">IF($B47="","",IF(AND($D48&lt;=N$3,$E48&gt;=N$3),"ac",""))</f>
        <v/>
      </c>
      <c r="O48" s="2" t="str">
        <f t="shared" ref="O48" si="1242">IF($B47="","",IF(AND($D48&lt;=O$3,$E48&gt;=O$3),"ac",""))</f>
        <v/>
      </c>
      <c r="P48" s="2" t="str">
        <f t="shared" ref="P48" si="1243">IF($B47="","",IF(AND($D48&lt;=P$3,$E48&gt;=P$3),"ac",""))</f>
        <v/>
      </c>
      <c r="Q48" s="2" t="str">
        <f t="shared" ref="Q48" si="1244">IF($B47="","",IF(AND($D48&lt;=Q$3,$E48&gt;=Q$3),"ac",""))</f>
        <v/>
      </c>
      <c r="R48" s="2" t="str">
        <f t="shared" ref="R48" si="1245">IF($B47="","",IF(AND($D48&lt;=R$3,$E48&gt;=R$3),"ac",""))</f>
        <v/>
      </c>
      <c r="S48" s="2" t="str">
        <f t="shared" ref="S48" si="1246">IF($B47="","",IF(AND($D48&lt;=S$3,$E48&gt;=S$3),"ac",""))</f>
        <v/>
      </c>
      <c r="T48" s="2" t="str">
        <f t="shared" ref="T48" si="1247">IF($B47="","",IF(AND($D48&lt;=T$3,$E48&gt;=T$3),"ac",""))</f>
        <v/>
      </c>
      <c r="U48" s="2" t="str">
        <f t="shared" ref="U48" si="1248">IF($B47="","",IF(AND($D48&lt;=U$3,$E48&gt;=U$3),"ac",""))</f>
        <v/>
      </c>
      <c r="V48" s="2" t="str">
        <f t="shared" ref="V48" si="1249">IF($B47="","",IF(AND($D48&lt;=V$3,$E48&gt;=V$3),"ac",""))</f>
        <v/>
      </c>
      <c r="W48" s="2" t="str">
        <f t="shared" ref="W48" si="1250">IF($B47="","",IF(AND($D48&lt;=W$3,$E48&gt;=W$3),"ac",""))</f>
        <v/>
      </c>
      <c r="X48" s="2" t="str">
        <f t="shared" ref="X48" si="1251">IF($B47="","",IF(AND($D48&lt;=X$3,$E48&gt;=X$3),"ac",""))</f>
        <v/>
      </c>
      <c r="Y48" s="2" t="str">
        <f t="shared" ref="Y48" si="1252">IF($B47="","",IF(AND($D48&lt;=Y$3,$E48&gt;=Y$3),"ac",""))</f>
        <v/>
      </c>
      <c r="Z48" s="2" t="str">
        <f t="shared" ref="Z48" si="1253">IF($B47="","",IF(AND($D48&lt;=Z$3,$E48&gt;=Z$3),"ac",""))</f>
        <v/>
      </c>
      <c r="AA48" s="2" t="str">
        <f t="shared" ref="AA48" si="1254">IF($B47="","",IF(AND($D48&lt;=AA$3,$E48&gt;=AA$3),"ac",""))</f>
        <v/>
      </c>
      <c r="AB48" s="2" t="str">
        <f t="shared" ref="AB48" si="1255">IF($B47="","",IF(AND($D48&lt;=AB$3,$E48&gt;=AB$3),"ac",""))</f>
        <v/>
      </c>
      <c r="AC48" s="2" t="str">
        <f t="shared" ref="AC48" si="1256">IF($B47="","",IF(AND($D48&lt;=AC$3,$E48&gt;=AC$3),"ac",""))</f>
        <v/>
      </c>
      <c r="AD48" s="2" t="str">
        <f t="shared" ref="AD48" si="1257">IF($B47="","",IF(AND($D48&lt;=AD$3,$E48&gt;=AD$3),"ac",""))</f>
        <v/>
      </c>
      <c r="AE48" s="2" t="str">
        <f t="shared" ref="AE48" si="1258">IF($B47="","",IF(AND($D48&lt;=AE$3,$E48&gt;=AE$3),"ac",""))</f>
        <v/>
      </c>
      <c r="AF48" s="2" t="str">
        <f t="shared" ref="AF48" si="1259">IF($B47="","",IF(AND($D48&lt;=AF$3,$E48&gt;=AF$3),"ac",""))</f>
        <v/>
      </c>
      <c r="AG48" s="2" t="str">
        <f t="shared" ref="AG48" si="1260">IF($B47="","",IF(AND($D48&lt;=AG$3,$E48&gt;=AG$3),"ac",""))</f>
        <v/>
      </c>
      <c r="AH48" s="2" t="str">
        <f t="shared" ref="AH48" si="1261">IF($B47="","",IF(AND($D48&lt;=AH$3,$E48&gt;=AH$3),"ac",""))</f>
        <v/>
      </c>
      <c r="AI48" s="2" t="str">
        <f t="shared" ref="AI48" si="1262">IF($B47="","",IF(AND($D48&lt;=AI$3,$E48&gt;=AI$3),"ac",""))</f>
        <v/>
      </c>
      <c r="AJ48" s="2" t="str">
        <f t="shared" ref="AJ48" si="1263">IF($B47="","",IF(AND($D48&lt;=AJ$3,$E48&gt;=AJ$3),"ac",""))</f>
        <v/>
      </c>
      <c r="AK48" s="2" t="str">
        <f t="shared" ref="AK48" si="1264">IF($B47="","",IF(AND($D48&lt;=AK$3,$E48&gt;=AK$3),"ac",""))</f>
        <v/>
      </c>
      <c r="AL48" s="2" t="str">
        <f t="shared" ref="AL48" si="1265">IF($B47="","",IF(AND($D48&lt;=AL$3,$E48&gt;=AL$3),"ac",""))</f>
        <v/>
      </c>
      <c r="AM48" s="2" t="str">
        <f t="shared" ref="AM48" si="1266">IF($B47="","",IF(AND($D48&lt;=AM$3,$E48&gt;=AM$3),"ac",""))</f>
        <v/>
      </c>
      <c r="AN48" s="2" t="str">
        <f t="shared" ref="AN48" si="1267">IF($B47="","",IF(AND($D48&lt;=AN$3,$E48&gt;=AN$3),"ac",""))</f>
        <v/>
      </c>
      <c r="AO48" s="2" t="str">
        <f t="shared" ref="AO48" si="1268">IF($B47="","",IF(AND($D48&lt;=AO$3,$E48&gt;=AO$3),"ac",""))</f>
        <v/>
      </c>
      <c r="AP48" s="2" t="str">
        <f t="shared" ref="AP48" si="1269">IF($B47="","",IF(AND($D48&lt;=AP$3,$E48&gt;=AP$3),"ac",""))</f>
        <v/>
      </c>
      <c r="AQ48" s="2" t="str">
        <f t="shared" ref="AQ48" si="1270">IF($B47="","",IF(AND($D48&lt;=AQ$3,$E48&gt;=AQ$3),"ac",""))</f>
        <v/>
      </c>
      <c r="AR48" s="2" t="str">
        <f t="shared" ref="AR48" si="1271">IF($B47="","",IF(AND($D48&lt;=AR$3,$E48&gt;=AR$3),"ac",""))</f>
        <v/>
      </c>
      <c r="AS48" s="2" t="str">
        <f t="shared" ref="AS48" si="1272">IF($B47="","",IF(AND($D48&lt;=AS$3,$E48&gt;=AS$3),"ac",""))</f>
        <v/>
      </c>
      <c r="AT48" s="2" t="str">
        <f t="shared" ref="AT48" si="1273">IF($B47="","",IF(AND($D48&lt;=AT$3,$E48&gt;=AT$3),"ac",""))</f>
        <v/>
      </c>
      <c r="AU48" s="2" t="str">
        <f t="shared" ref="AU48" si="1274">IF($B47="","",IF(AND($D48&lt;=AU$3,$E48&gt;=AU$3),"ac",""))</f>
        <v/>
      </c>
      <c r="AV48" s="2" t="str">
        <f t="shared" ref="AV48" si="1275">IF($B47="","",IF(AND($D48&lt;=AV$3,$E48&gt;=AV$3),"ac",""))</f>
        <v/>
      </c>
      <c r="AW48" s="2" t="str">
        <f t="shared" ref="AW48" si="1276">IF($B47="","",IF(AND($D48&lt;=AW$3,$E48&gt;=AW$3),"ac",""))</f>
        <v/>
      </c>
      <c r="AX48" s="2" t="str">
        <f t="shared" ref="AX48" si="1277">IF($B47="","",IF(AND($D48&lt;=AX$3,$E48&gt;=AX$3),"ac",""))</f>
        <v/>
      </c>
      <c r="AY48" s="2" t="str">
        <f t="shared" ref="AY48" si="1278">IF($B47="","",IF(AND($D48&lt;=AY$3,$E48&gt;=AY$3),"ac",""))</f>
        <v/>
      </c>
      <c r="AZ48" s="2" t="str">
        <f t="shared" ref="AZ48" si="1279">IF($B47="","",IF(AND($D48&lt;=AZ$3,$E48&gt;=AZ$3),"ac",""))</f>
        <v/>
      </c>
      <c r="BA48" s="2" t="str">
        <f t="shared" ref="BA48" si="1280">IF($B47="","",IF(AND($D48&lt;=BA$3,$E48&gt;=BA$3),"ac",""))</f>
        <v/>
      </c>
      <c r="BB48" s="2" t="str">
        <f t="shared" ref="BB48" si="1281">IF($B47="","",IF(AND($D48&lt;=BB$3,$E48&gt;=BB$3),"ac",""))</f>
        <v>ac</v>
      </c>
      <c r="BC48" s="2" t="str">
        <f t="shared" ref="BC48" si="1282">IF($B47="","",IF(AND($D48&lt;=BC$3,$E48&gt;=BC$3),"ac",""))</f>
        <v>ac</v>
      </c>
      <c r="BD48" s="2" t="str">
        <f t="shared" ref="BD48" si="1283">IF($B47="","",IF(AND($D48&lt;=BD$3,$E48&gt;=BD$3),"ac",""))</f>
        <v>ac</v>
      </c>
      <c r="BE48" s="2" t="str">
        <f t="shared" ref="BE48" si="1284">IF($B47="","",IF(AND($D48&lt;=BE$3,$E48&gt;=BE$3),"ac",""))</f>
        <v>ac</v>
      </c>
      <c r="BF48" s="2" t="str">
        <f t="shared" ref="BF48" si="1285">IF($B47="","",IF(AND($D48&lt;=BF$3,$E48&gt;=BF$3),"ac",""))</f>
        <v>ac</v>
      </c>
      <c r="BG48" s="2" t="str">
        <f t="shared" ref="BG48" si="1286">IF($B47="","",IF(AND($D48&lt;=BG$3,$E48&gt;=BG$3),"ac",""))</f>
        <v/>
      </c>
      <c r="BH48" s="2" t="str">
        <f t="shared" ref="BH48" si="1287">IF($B47="","",IF(AND($D48&lt;=BH$3,$E48&gt;=BH$3),"ac",""))</f>
        <v/>
      </c>
      <c r="BI48" s="2" t="str">
        <f t="shared" ref="BI48" si="1288">IF($B47="","",IF(AND($D48&lt;=BI$3,$E48&gt;=BI$3),"ac",""))</f>
        <v/>
      </c>
      <c r="BJ48" s="2" t="str">
        <f t="shared" ref="BJ48" si="1289">IF($B47="","",IF(AND($D48&lt;=BJ$3,$E48&gt;=BJ$3),"ac",""))</f>
        <v/>
      </c>
      <c r="BK48" s="2" t="str">
        <f t="shared" ref="BK48" si="1290">IF($B47="","",IF(AND($D48&lt;=BK$3,$E48&gt;=BK$3),"ac",""))</f>
        <v/>
      </c>
      <c r="BL48" s="2" t="str">
        <f t="shared" ref="BL48" si="1291">IF($B47="","",IF(AND($D48&lt;=BL$3,$E48&gt;=BL$3),"ac",""))</f>
        <v/>
      </c>
      <c r="BM48" s="2" t="str">
        <f t="shared" ref="BM48" si="1292">IF($B47="","",IF(AND($D48&lt;=BM$3,$E48&gt;=BM$3),"ac",""))</f>
        <v/>
      </c>
      <c r="BN48" s="2" t="str">
        <f t="shared" ref="BN48" si="1293">IF($B47="","",IF(AND($D48&lt;=BN$3,$E48&gt;=BN$3),"ac",""))</f>
        <v/>
      </c>
      <c r="BO48" s="2" t="str">
        <f t="shared" ref="BO48" si="1294">IF($B47="","",IF(AND($D48&lt;=BO$3,$E48&gt;=BO$3),"ac",""))</f>
        <v/>
      </c>
      <c r="BP48" s="2" t="str">
        <f t="shared" ref="BP48" si="1295">IF($B47="","",IF(AND($D48&lt;=BP$3,$E48&gt;=BP$3),"ac",""))</f>
        <v/>
      </c>
      <c r="BQ48" s="2" t="str">
        <f t="shared" ref="BQ48" si="1296">IF($B47="","",IF(AND($D48&lt;=BQ$3,$E48&gt;=BQ$3),"ac",""))</f>
        <v/>
      </c>
      <c r="BR48" s="2" t="str">
        <f t="shared" ref="BR48" si="1297">IF($B47="","",IF(AND($D48&lt;=BR$3,$E48&gt;=BR$3),"ac",""))</f>
        <v/>
      </c>
      <c r="BS48" s="2" t="str">
        <f t="shared" ref="BS48" si="1298">IF($B47="","",IF(AND($D48&lt;=BS$3,$E48&gt;=BS$3),"ac",""))</f>
        <v/>
      </c>
      <c r="BT48" s="2" t="str">
        <f t="shared" ref="BT48" si="1299">IF($B47="","",IF(AND($D48&lt;=BT$3,$E48&gt;=BT$3),"ac",""))</f>
        <v/>
      </c>
      <c r="BU48" s="2" t="str">
        <f t="shared" ref="BU48" si="1300">IF($B47="","",IF(AND($D48&lt;=BU$3,$E48&gt;=BU$3),"ac",""))</f>
        <v/>
      </c>
      <c r="BV48" s="2" t="str">
        <f t="shared" ref="BV48" si="1301">IF($B47="","",IF(AND($D48&lt;=BV$3,$E48&gt;=BV$3),"ac",""))</f>
        <v/>
      </c>
      <c r="BW48" s="2" t="str">
        <f t="shared" ref="BW48" si="1302">IF($B47="","",IF(AND($D48&lt;=BW$3,$E48&gt;=BW$3),"ac",""))</f>
        <v/>
      </c>
      <c r="BX48" s="2" t="str">
        <f t="shared" ref="BX48" si="1303">IF($B47="","",IF(AND($D48&lt;=BX$3,$E48&gt;=BX$3),"ac",""))</f>
        <v/>
      </c>
      <c r="BY48" s="2" t="str">
        <f t="shared" ref="BY48" si="1304">IF($B47="","",IF(AND($D48&lt;=BY$3,$E48&gt;=BY$3),"ac",""))</f>
        <v/>
      </c>
    </row>
    <row r="49" spans="1:77" x14ac:dyDescent="0.3">
      <c r="A49" s="15">
        <v>4.0999999999999996</v>
      </c>
      <c r="B49" s="15" t="s">
        <v>24</v>
      </c>
      <c r="C49" s="15">
        <f t="shared" si="98"/>
        <v>3</v>
      </c>
      <c r="D49" s="4">
        <v>46185</v>
      </c>
      <c r="E49" s="4">
        <v>46187</v>
      </c>
      <c r="F49" s="13" t="s">
        <v>3</v>
      </c>
      <c r="G49" s="13">
        <v>3.12</v>
      </c>
      <c r="H49" s="2" t="str">
        <f>IF($B49="","",IF(AND($D49&lt;=H$3,$E49&gt;=H$3),"a",""))</f>
        <v/>
      </c>
      <c r="I49" s="2" t="str">
        <f t="shared" ref="I49:X50" si="1305">IF($B49="","",IF(AND($D49&lt;=I$3,$E49&gt;=I$3),"a",""))</f>
        <v/>
      </c>
      <c r="J49" s="2" t="str">
        <f t="shared" si="1305"/>
        <v/>
      </c>
      <c r="K49" s="2" t="str">
        <f t="shared" si="1305"/>
        <v/>
      </c>
      <c r="L49" s="2" t="str">
        <f t="shared" si="1305"/>
        <v/>
      </c>
      <c r="M49" s="2" t="str">
        <f t="shared" si="1305"/>
        <v/>
      </c>
      <c r="N49" s="2" t="str">
        <f t="shared" si="1305"/>
        <v/>
      </c>
      <c r="O49" s="2" t="str">
        <f t="shared" si="1305"/>
        <v/>
      </c>
      <c r="P49" s="2" t="str">
        <f t="shared" si="1305"/>
        <v/>
      </c>
      <c r="Q49" s="2" t="str">
        <f t="shared" si="1305"/>
        <v/>
      </c>
      <c r="R49" s="2" t="str">
        <f t="shared" si="1305"/>
        <v/>
      </c>
      <c r="S49" s="2" t="str">
        <f t="shared" si="1305"/>
        <v/>
      </c>
      <c r="T49" s="2" t="str">
        <f t="shared" si="1305"/>
        <v/>
      </c>
      <c r="U49" s="2" t="str">
        <f t="shared" si="1305"/>
        <v/>
      </c>
      <c r="V49" s="2" t="str">
        <f t="shared" si="1305"/>
        <v/>
      </c>
      <c r="W49" s="2" t="str">
        <f t="shared" si="1305"/>
        <v/>
      </c>
      <c r="X49" s="2" t="str">
        <f t="shared" si="1305"/>
        <v/>
      </c>
      <c r="Y49" s="2" t="str">
        <f t="shared" ref="Y49:BY49" si="1306">IF($B49="","",IF(AND($D49&lt;=Y$3,$E49&gt;=Y$3),"a",""))</f>
        <v/>
      </c>
      <c r="Z49" s="2" t="str">
        <f t="shared" si="1306"/>
        <v/>
      </c>
      <c r="AA49" s="2" t="str">
        <f t="shared" si="1306"/>
        <v/>
      </c>
      <c r="AB49" s="2" t="str">
        <f t="shared" si="1306"/>
        <v/>
      </c>
      <c r="AC49" s="2" t="str">
        <f t="shared" si="1306"/>
        <v/>
      </c>
      <c r="AD49" s="2" t="str">
        <f t="shared" si="1306"/>
        <v/>
      </c>
      <c r="AE49" s="2" t="str">
        <f t="shared" si="1306"/>
        <v/>
      </c>
      <c r="AF49" s="2" t="str">
        <f t="shared" si="1306"/>
        <v/>
      </c>
      <c r="AG49" s="2" t="str">
        <f t="shared" si="1306"/>
        <v/>
      </c>
      <c r="AH49" s="2" t="str">
        <f t="shared" si="1306"/>
        <v/>
      </c>
      <c r="AI49" s="2" t="str">
        <f t="shared" si="1306"/>
        <v/>
      </c>
      <c r="AJ49" s="2" t="str">
        <f t="shared" si="1306"/>
        <v/>
      </c>
      <c r="AK49" s="2" t="str">
        <f t="shared" si="1306"/>
        <v/>
      </c>
      <c r="AL49" s="2" t="str">
        <f t="shared" si="1306"/>
        <v/>
      </c>
      <c r="AM49" s="2" t="str">
        <f t="shared" si="1306"/>
        <v/>
      </c>
      <c r="AN49" s="2" t="str">
        <f t="shared" si="1306"/>
        <v/>
      </c>
      <c r="AO49" s="2" t="str">
        <f t="shared" si="1306"/>
        <v/>
      </c>
      <c r="AP49" s="2" t="str">
        <f t="shared" si="1306"/>
        <v/>
      </c>
      <c r="AQ49" s="2" t="str">
        <f t="shared" si="1306"/>
        <v/>
      </c>
      <c r="AR49" s="2" t="str">
        <f t="shared" si="1306"/>
        <v/>
      </c>
      <c r="AS49" s="2" t="str">
        <f t="shared" si="1306"/>
        <v/>
      </c>
      <c r="AT49" s="2" t="str">
        <f t="shared" si="1306"/>
        <v/>
      </c>
      <c r="AU49" s="2" t="str">
        <f t="shared" si="1306"/>
        <v/>
      </c>
      <c r="AV49" s="2" t="str">
        <f t="shared" si="1306"/>
        <v/>
      </c>
      <c r="AW49" s="2" t="str">
        <f t="shared" si="1306"/>
        <v/>
      </c>
      <c r="AX49" s="2" t="str">
        <f t="shared" si="1306"/>
        <v/>
      </c>
      <c r="AY49" s="2" t="str">
        <f t="shared" si="1306"/>
        <v/>
      </c>
      <c r="AZ49" s="2" t="str">
        <f t="shared" si="1306"/>
        <v/>
      </c>
      <c r="BA49" s="2" t="str">
        <f t="shared" si="1306"/>
        <v/>
      </c>
      <c r="BB49" s="2" t="str">
        <f t="shared" si="1306"/>
        <v>a</v>
      </c>
      <c r="BC49" s="2" t="str">
        <f t="shared" si="1306"/>
        <v>a</v>
      </c>
      <c r="BD49" s="2" t="str">
        <f t="shared" si="1306"/>
        <v>a</v>
      </c>
      <c r="BE49" s="2" t="str">
        <f t="shared" si="1306"/>
        <v/>
      </c>
      <c r="BF49" s="2" t="str">
        <f t="shared" si="1306"/>
        <v/>
      </c>
      <c r="BG49" s="2" t="str">
        <f t="shared" si="1306"/>
        <v/>
      </c>
      <c r="BH49" s="2" t="str">
        <f t="shared" si="1306"/>
        <v/>
      </c>
      <c r="BI49" s="2" t="str">
        <f t="shared" si="1306"/>
        <v/>
      </c>
      <c r="BJ49" s="2" t="str">
        <f t="shared" si="1306"/>
        <v/>
      </c>
      <c r="BK49" s="2" t="str">
        <f t="shared" si="1306"/>
        <v/>
      </c>
      <c r="BL49" s="2" t="str">
        <f t="shared" si="1306"/>
        <v/>
      </c>
      <c r="BM49" s="2" t="str">
        <f t="shared" si="1306"/>
        <v/>
      </c>
      <c r="BN49" s="2" t="str">
        <f t="shared" si="1306"/>
        <v/>
      </c>
      <c r="BO49" s="2" t="str">
        <f t="shared" si="1306"/>
        <v/>
      </c>
      <c r="BP49" s="2" t="str">
        <f t="shared" si="1306"/>
        <v/>
      </c>
      <c r="BQ49" s="2" t="str">
        <f t="shared" si="1306"/>
        <v/>
      </c>
      <c r="BR49" s="2" t="str">
        <f t="shared" si="1306"/>
        <v/>
      </c>
      <c r="BS49" s="2" t="str">
        <f t="shared" si="1306"/>
        <v/>
      </c>
      <c r="BT49" s="2" t="str">
        <f t="shared" si="1306"/>
        <v/>
      </c>
      <c r="BU49" s="2" t="str">
        <f t="shared" si="1306"/>
        <v/>
      </c>
      <c r="BV49" s="2" t="str">
        <f t="shared" si="1306"/>
        <v/>
      </c>
      <c r="BW49" s="2" t="str">
        <f t="shared" si="1306"/>
        <v/>
      </c>
      <c r="BX49" s="2" t="str">
        <f t="shared" si="1306"/>
        <v/>
      </c>
      <c r="BY49" s="2" t="str">
        <f t="shared" si="1306"/>
        <v/>
      </c>
    </row>
    <row r="50" spans="1:77" x14ac:dyDescent="0.3">
      <c r="A50" s="15"/>
      <c r="B50" s="15"/>
      <c r="C50" s="15"/>
      <c r="D50" s="4">
        <v>46185</v>
      </c>
      <c r="E50" s="4">
        <v>46187</v>
      </c>
      <c r="F50" s="13"/>
      <c r="G50" s="13"/>
      <c r="H50" s="2" t="str">
        <f>IF($B49="","",IF(AND($D50&lt;=H$3,$E50&gt;=H$3),"ac",""))</f>
        <v/>
      </c>
      <c r="I50" s="2" t="str">
        <f t="shared" ref="I50" si="1307">IF($B49="","",IF(AND($D50&lt;=I$3,$E50&gt;=I$3),"ac",""))</f>
        <v/>
      </c>
      <c r="J50" s="2" t="str">
        <f t="shared" ref="J50" si="1308">IF($B49="","",IF(AND($D50&lt;=J$3,$E50&gt;=J$3),"ac",""))</f>
        <v/>
      </c>
      <c r="K50" s="2" t="str">
        <f t="shared" ref="K50" si="1309">IF($B49="","",IF(AND($D50&lt;=K$3,$E50&gt;=K$3),"ac",""))</f>
        <v/>
      </c>
      <c r="L50" s="2" t="str">
        <f t="shared" ref="L50" si="1310">IF($B49="","",IF(AND($D50&lt;=L$3,$E50&gt;=L$3),"ac",""))</f>
        <v/>
      </c>
      <c r="M50" s="2" t="str">
        <f t="shared" ref="M50" si="1311">IF($B49="","",IF(AND($D50&lt;=M$3,$E50&gt;=M$3),"ac",""))</f>
        <v/>
      </c>
      <c r="N50" s="2" t="str">
        <f t="shared" ref="N50" si="1312">IF($B49="","",IF(AND($D50&lt;=N$3,$E50&gt;=N$3),"ac",""))</f>
        <v/>
      </c>
      <c r="O50" s="2" t="str">
        <f t="shared" ref="O50" si="1313">IF($B49="","",IF(AND($D50&lt;=O$3,$E50&gt;=O$3),"ac",""))</f>
        <v/>
      </c>
      <c r="P50" s="2" t="str">
        <f t="shared" ref="P50" si="1314">IF($B49="","",IF(AND($D50&lt;=P$3,$E50&gt;=P$3),"ac",""))</f>
        <v/>
      </c>
      <c r="Q50" s="2" t="str">
        <f t="shared" ref="Q50" si="1315">IF($B49="","",IF(AND($D50&lt;=Q$3,$E50&gt;=Q$3),"ac",""))</f>
        <v/>
      </c>
      <c r="R50" s="2" t="str">
        <f t="shared" ref="R50" si="1316">IF($B49="","",IF(AND($D50&lt;=R$3,$E50&gt;=R$3),"ac",""))</f>
        <v/>
      </c>
      <c r="S50" s="2" t="str">
        <f t="shared" ref="S50" si="1317">IF($B49="","",IF(AND($D50&lt;=S$3,$E50&gt;=S$3),"ac",""))</f>
        <v/>
      </c>
      <c r="T50" s="2" t="str">
        <f t="shared" ref="T50" si="1318">IF($B49="","",IF(AND($D50&lt;=T$3,$E50&gt;=T$3),"ac",""))</f>
        <v/>
      </c>
      <c r="U50" s="2" t="str">
        <f t="shared" ref="U50" si="1319">IF($B49="","",IF(AND($D50&lt;=U$3,$E50&gt;=U$3),"ac",""))</f>
        <v/>
      </c>
      <c r="V50" s="2" t="str">
        <f t="shared" ref="V50" si="1320">IF($B49="","",IF(AND($D50&lt;=V$3,$E50&gt;=V$3),"ac",""))</f>
        <v/>
      </c>
      <c r="W50" s="2" t="str">
        <f t="shared" ref="W50" si="1321">IF($B49="","",IF(AND($D50&lt;=W$3,$E50&gt;=W$3),"ac",""))</f>
        <v/>
      </c>
      <c r="X50" s="2" t="str">
        <f t="shared" ref="X50" si="1322">IF($B49="","",IF(AND($D50&lt;=X$3,$E50&gt;=X$3),"ac",""))</f>
        <v/>
      </c>
      <c r="Y50" s="2" t="str">
        <f t="shared" ref="Y50" si="1323">IF($B49="","",IF(AND($D50&lt;=Y$3,$E50&gt;=Y$3),"ac",""))</f>
        <v/>
      </c>
      <c r="Z50" s="2" t="str">
        <f t="shared" ref="Z50" si="1324">IF($B49="","",IF(AND($D50&lt;=Z$3,$E50&gt;=Z$3),"ac",""))</f>
        <v/>
      </c>
      <c r="AA50" s="2" t="str">
        <f t="shared" ref="AA50" si="1325">IF($B49="","",IF(AND($D50&lt;=AA$3,$E50&gt;=AA$3),"ac",""))</f>
        <v/>
      </c>
      <c r="AB50" s="2" t="str">
        <f t="shared" ref="AB50" si="1326">IF($B49="","",IF(AND($D50&lt;=AB$3,$E50&gt;=AB$3),"ac",""))</f>
        <v/>
      </c>
      <c r="AC50" s="2" t="str">
        <f t="shared" ref="AC50" si="1327">IF($B49="","",IF(AND($D50&lt;=AC$3,$E50&gt;=AC$3),"ac",""))</f>
        <v/>
      </c>
      <c r="AD50" s="2" t="str">
        <f t="shared" ref="AD50" si="1328">IF($B49="","",IF(AND($D50&lt;=AD$3,$E50&gt;=AD$3),"ac",""))</f>
        <v/>
      </c>
      <c r="AE50" s="2" t="str">
        <f t="shared" ref="AE50" si="1329">IF($B49="","",IF(AND($D50&lt;=AE$3,$E50&gt;=AE$3),"ac",""))</f>
        <v/>
      </c>
      <c r="AF50" s="2" t="str">
        <f t="shared" ref="AF50" si="1330">IF($B49="","",IF(AND($D50&lt;=AF$3,$E50&gt;=AF$3),"ac",""))</f>
        <v/>
      </c>
      <c r="AG50" s="2" t="str">
        <f t="shared" ref="AG50" si="1331">IF($B49="","",IF(AND($D50&lt;=AG$3,$E50&gt;=AG$3),"ac",""))</f>
        <v/>
      </c>
      <c r="AH50" s="2" t="str">
        <f t="shared" ref="AH50" si="1332">IF($B49="","",IF(AND($D50&lt;=AH$3,$E50&gt;=AH$3),"ac",""))</f>
        <v/>
      </c>
      <c r="AI50" s="2" t="str">
        <f t="shared" ref="AI50" si="1333">IF($B49="","",IF(AND($D50&lt;=AI$3,$E50&gt;=AI$3),"ac",""))</f>
        <v/>
      </c>
      <c r="AJ50" s="2" t="str">
        <f t="shared" ref="AJ50" si="1334">IF($B49="","",IF(AND($D50&lt;=AJ$3,$E50&gt;=AJ$3),"ac",""))</f>
        <v/>
      </c>
      <c r="AK50" s="2" t="str">
        <f t="shared" ref="AK50" si="1335">IF($B49="","",IF(AND($D50&lt;=AK$3,$E50&gt;=AK$3),"ac",""))</f>
        <v/>
      </c>
      <c r="AL50" s="2" t="str">
        <f t="shared" ref="AL50" si="1336">IF($B49="","",IF(AND($D50&lt;=AL$3,$E50&gt;=AL$3),"ac",""))</f>
        <v/>
      </c>
      <c r="AM50" s="2" t="str">
        <f t="shared" ref="AM50" si="1337">IF($B49="","",IF(AND($D50&lt;=AM$3,$E50&gt;=AM$3),"ac",""))</f>
        <v/>
      </c>
      <c r="AN50" s="2" t="str">
        <f t="shared" ref="AN50" si="1338">IF($B49="","",IF(AND($D50&lt;=AN$3,$E50&gt;=AN$3),"ac",""))</f>
        <v/>
      </c>
      <c r="AO50" s="2" t="str">
        <f t="shared" ref="AO50" si="1339">IF($B49="","",IF(AND($D50&lt;=AO$3,$E50&gt;=AO$3),"ac",""))</f>
        <v/>
      </c>
      <c r="AP50" s="2" t="str">
        <f t="shared" ref="AP50" si="1340">IF($B49="","",IF(AND($D50&lt;=AP$3,$E50&gt;=AP$3),"ac",""))</f>
        <v/>
      </c>
      <c r="AQ50" s="2" t="str">
        <f t="shared" ref="AQ50" si="1341">IF($B49="","",IF(AND($D50&lt;=AQ$3,$E50&gt;=AQ$3),"ac",""))</f>
        <v/>
      </c>
      <c r="AR50" s="2" t="str">
        <f t="shared" ref="AR50" si="1342">IF($B49="","",IF(AND($D50&lt;=AR$3,$E50&gt;=AR$3),"ac",""))</f>
        <v/>
      </c>
      <c r="AS50" s="2" t="str">
        <f t="shared" ref="AS50" si="1343">IF($B49="","",IF(AND($D50&lt;=AS$3,$E50&gt;=AS$3),"ac",""))</f>
        <v/>
      </c>
      <c r="AT50" s="2" t="str">
        <f t="shared" ref="AT50" si="1344">IF($B49="","",IF(AND($D50&lt;=AT$3,$E50&gt;=AT$3),"ac",""))</f>
        <v/>
      </c>
      <c r="AU50" s="2" t="str">
        <f t="shared" ref="AU50" si="1345">IF($B49="","",IF(AND($D50&lt;=AU$3,$E50&gt;=AU$3),"ac",""))</f>
        <v/>
      </c>
      <c r="AV50" s="2" t="str">
        <f t="shared" ref="AV50" si="1346">IF($B49="","",IF(AND($D50&lt;=AV$3,$E50&gt;=AV$3),"ac",""))</f>
        <v/>
      </c>
      <c r="AW50" s="2" t="str">
        <f t="shared" ref="AW50" si="1347">IF($B49="","",IF(AND($D50&lt;=AW$3,$E50&gt;=AW$3),"ac",""))</f>
        <v/>
      </c>
      <c r="AX50" s="2" t="str">
        <f t="shared" ref="AX50" si="1348">IF($B49="","",IF(AND($D50&lt;=AX$3,$E50&gt;=AX$3),"ac",""))</f>
        <v/>
      </c>
      <c r="AY50" s="2" t="str">
        <f t="shared" ref="AY50" si="1349">IF($B49="","",IF(AND($D50&lt;=AY$3,$E50&gt;=AY$3),"ac",""))</f>
        <v/>
      </c>
      <c r="AZ50" s="2" t="str">
        <f t="shared" ref="AZ50" si="1350">IF($B49="","",IF(AND($D50&lt;=AZ$3,$E50&gt;=AZ$3),"ac",""))</f>
        <v/>
      </c>
      <c r="BA50" s="2" t="str">
        <f t="shared" ref="BA50" si="1351">IF($B49="","",IF(AND($D50&lt;=BA$3,$E50&gt;=BA$3),"ac",""))</f>
        <v/>
      </c>
      <c r="BB50" s="2" t="str">
        <f t="shared" ref="BB50" si="1352">IF($B49="","",IF(AND($D50&lt;=BB$3,$E50&gt;=BB$3),"ac",""))</f>
        <v>ac</v>
      </c>
      <c r="BC50" s="2" t="str">
        <f t="shared" ref="BC50" si="1353">IF($B49="","",IF(AND($D50&lt;=BC$3,$E50&gt;=BC$3),"ac",""))</f>
        <v>ac</v>
      </c>
      <c r="BD50" s="2" t="str">
        <f t="shared" ref="BD50" si="1354">IF($B49="","",IF(AND($D50&lt;=BD$3,$E50&gt;=BD$3),"ac",""))</f>
        <v>ac</v>
      </c>
      <c r="BE50" s="2" t="str">
        <f t="shared" ref="BE50" si="1355">IF($B49="","",IF(AND($D50&lt;=BE$3,$E50&gt;=BE$3),"ac",""))</f>
        <v/>
      </c>
      <c r="BF50" s="2" t="str">
        <f t="shared" ref="BF50" si="1356">IF($B49="","",IF(AND($D50&lt;=BF$3,$E50&gt;=BF$3),"ac",""))</f>
        <v/>
      </c>
      <c r="BG50" s="2" t="str">
        <f t="shared" ref="BG50" si="1357">IF($B49="","",IF(AND($D50&lt;=BG$3,$E50&gt;=BG$3),"ac",""))</f>
        <v/>
      </c>
      <c r="BH50" s="2" t="str">
        <f t="shared" ref="BH50" si="1358">IF($B49="","",IF(AND($D50&lt;=BH$3,$E50&gt;=BH$3),"ac",""))</f>
        <v/>
      </c>
      <c r="BI50" s="2" t="str">
        <f t="shared" ref="BI50" si="1359">IF($B49="","",IF(AND($D50&lt;=BI$3,$E50&gt;=BI$3),"ac",""))</f>
        <v/>
      </c>
      <c r="BJ50" s="2" t="str">
        <f t="shared" ref="BJ50" si="1360">IF($B49="","",IF(AND($D50&lt;=BJ$3,$E50&gt;=BJ$3),"ac",""))</f>
        <v/>
      </c>
      <c r="BK50" s="2" t="str">
        <f t="shared" ref="BK50" si="1361">IF($B49="","",IF(AND($D50&lt;=BK$3,$E50&gt;=BK$3),"ac",""))</f>
        <v/>
      </c>
      <c r="BL50" s="2" t="str">
        <f t="shared" ref="BL50" si="1362">IF($B49="","",IF(AND($D50&lt;=BL$3,$E50&gt;=BL$3),"ac",""))</f>
        <v/>
      </c>
      <c r="BM50" s="2" t="str">
        <f t="shared" ref="BM50" si="1363">IF($B49="","",IF(AND($D50&lt;=BM$3,$E50&gt;=BM$3),"ac",""))</f>
        <v/>
      </c>
      <c r="BN50" s="2" t="str">
        <f t="shared" ref="BN50" si="1364">IF($B49="","",IF(AND($D50&lt;=BN$3,$E50&gt;=BN$3),"ac",""))</f>
        <v/>
      </c>
      <c r="BO50" s="2" t="str">
        <f t="shared" ref="BO50" si="1365">IF($B49="","",IF(AND($D50&lt;=BO$3,$E50&gt;=BO$3),"ac",""))</f>
        <v/>
      </c>
      <c r="BP50" s="2" t="str">
        <f t="shared" ref="BP50" si="1366">IF($B49="","",IF(AND($D50&lt;=BP$3,$E50&gt;=BP$3),"ac",""))</f>
        <v/>
      </c>
      <c r="BQ50" s="2" t="str">
        <f t="shared" ref="BQ50" si="1367">IF($B49="","",IF(AND($D50&lt;=BQ$3,$E50&gt;=BQ$3),"ac",""))</f>
        <v/>
      </c>
      <c r="BR50" s="2" t="str">
        <f t="shared" ref="BR50" si="1368">IF($B49="","",IF(AND($D50&lt;=BR$3,$E50&gt;=BR$3),"ac",""))</f>
        <v/>
      </c>
      <c r="BS50" s="2" t="str">
        <f t="shared" ref="BS50" si="1369">IF($B49="","",IF(AND($D50&lt;=BS$3,$E50&gt;=BS$3),"ac",""))</f>
        <v/>
      </c>
      <c r="BT50" s="2" t="str">
        <f t="shared" ref="BT50" si="1370">IF($B49="","",IF(AND($D50&lt;=BT$3,$E50&gt;=BT$3),"ac",""))</f>
        <v/>
      </c>
      <c r="BU50" s="2" t="str">
        <f t="shared" ref="BU50" si="1371">IF($B49="","",IF(AND($D50&lt;=BU$3,$E50&gt;=BU$3),"ac",""))</f>
        <v/>
      </c>
      <c r="BV50" s="2" t="str">
        <f t="shared" ref="BV50" si="1372">IF($B49="","",IF(AND($D50&lt;=BV$3,$E50&gt;=BV$3),"ac",""))</f>
        <v/>
      </c>
      <c r="BW50" s="2" t="str">
        <f t="shared" ref="BW50" si="1373">IF($B49="","",IF(AND($D50&lt;=BW$3,$E50&gt;=BW$3),"ac",""))</f>
        <v/>
      </c>
      <c r="BX50" s="2" t="str">
        <f t="shared" ref="BX50" si="1374">IF($B49="","",IF(AND($D50&lt;=BX$3,$E50&gt;=BX$3),"ac",""))</f>
        <v/>
      </c>
      <c r="BY50" s="2" t="str">
        <f t="shared" ref="BY50" si="1375">IF($B49="","",IF(AND($D50&lt;=BY$3,$E50&gt;=BY$3),"ac",""))</f>
        <v/>
      </c>
    </row>
    <row r="51" spans="1:77" x14ac:dyDescent="0.3">
      <c r="A51" s="15">
        <v>4.2</v>
      </c>
      <c r="B51" s="15" t="s">
        <v>38</v>
      </c>
      <c r="C51" s="15">
        <f t="shared" si="98"/>
        <v>2</v>
      </c>
      <c r="D51" s="4">
        <v>46188</v>
      </c>
      <c r="E51" s="4">
        <v>46189</v>
      </c>
      <c r="F51" s="13" t="s">
        <v>46</v>
      </c>
      <c r="G51" s="13">
        <v>4.0999999999999996</v>
      </c>
      <c r="H51" s="2" t="str">
        <f>IF($B51="","",IF(AND($D51&lt;=H$3,$E51&gt;=H$3),"a",""))</f>
        <v/>
      </c>
      <c r="I51" s="2" t="str">
        <f t="shared" ref="I51:X52" si="1376">IF($B51="","",IF(AND($D51&lt;=I$3,$E51&gt;=I$3),"a",""))</f>
        <v/>
      </c>
      <c r="J51" s="2" t="str">
        <f t="shared" si="1376"/>
        <v/>
      </c>
      <c r="K51" s="2" t="str">
        <f t="shared" si="1376"/>
        <v/>
      </c>
      <c r="L51" s="2" t="str">
        <f t="shared" si="1376"/>
        <v/>
      </c>
      <c r="M51" s="2" t="str">
        <f t="shared" si="1376"/>
        <v/>
      </c>
      <c r="N51" s="2" t="str">
        <f t="shared" si="1376"/>
        <v/>
      </c>
      <c r="O51" s="2" t="str">
        <f t="shared" si="1376"/>
        <v/>
      </c>
      <c r="P51" s="2" t="str">
        <f t="shared" si="1376"/>
        <v/>
      </c>
      <c r="Q51" s="2" t="str">
        <f t="shared" si="1376"/>
        <v/>
      </c>
      <c r="R51" s="2" t="str">
        <f t="shared" si="1376"/>
        <v/>
      </c>
      <c r="S51" s="2" t="str">
        <f t="shared" si="1376"/>
        <v/>
      </c>
      <c r="T51" s="2" t="str">
        <f t="shared" si="1376"/>
        <v/>
      </c>
      <c r="U51" s="2" t="str">
        <f t="shared" si="1376"/>
        <v/>
      </c>
      <c r="V51" s="2" t="str">
        <f t="shared" si="1376"/>
        <v/>
      </c>
      <c r="W51" s="2" t="str">
        <f t="shared" si="1376"/>
        <v/>
      </c>
      <c r="X51" s="2" t="str">
        <f t="shared" si="1376"/>
        <v/>
      </c>
      <c r="Y51" s="2" t="str">
        <f t="shared" ref="Y51:BY51" si="1377">IF($B51="","",IF(AND($D51&lt;=Y$3,$E51&gt;=Y$3),"a",""))</f>
        <v/>
      </c>
      <c r="Z51" s="2" t="str">
        <f t="shared" si="1377"/>
        <v/>
      </c>
      <c r="AA51" s="2" t="str">
        <f t="shared" si="1377"/>
        <v/>
      </c>
      <c r="AB51" s="2" t="str">
        <f t="shared" si="1377"/>
        <v/>
      </c>
      <c r="AC51" s="2" t="str">
        <f t="shared" si="1377"/>
        <v/>
      </c>
      <c r="AD51" s="2" t="str">
        <f t="shared" si="1377"/>
        <v/>
      </c>
      <c r="AE51" s="2" t="str">
        <f t="shared" si="1377"/>
        <v/>
      </c>
      <c r="AF51" s="2" t="str">
        <f t="shared" si="1377"/>
        <v/>
      </c>
      <c r="AG51" s="2" t="str">
        <f t="shared" si="1377"/>
        <v/>
      </c>
      <c r="AH51" s="2" t="str">
        <f t="shared" si="1377"/>
        <v/>
      </c>
      <c r="AI51" s="2" t="str">
        <f t="shared" si="1377"/>
        <v/>
      </c>
      <c r="AJ51" s="2" t="str">
        <f t="shared" si="1377"/>
        <v/>
      </c>
      <c r="AK51" s="2" t="str">
        <f t="shared" si="1377"/>
        <v/>
      </c>
      <c r="AL51" s="2" t="str">
        <f t="shared" si="1377"/>
        <v/>
      </c>
      <c r="AM51" s="2" t="str">
        <f t="shared" si="1377"/>
        <v/>
      </c>
      <c r="AN51" s="2" t="str">
        <f t="shared" si="1377"/>
        <v/>
      </c>
      <c r="AO51" s="2" t="str">
        <f t="shared" si="1377"/>
        <v/>
      </c>
      <c r="AP51" s="2" t="str">
        <f t="shared" si="1377"/>
        <v/>
      </c>
      <c r="AQ51" s="2" t="str">
        <f t="shared" si="1377"/>
        <v/>
      </c>
      <c r="AR51" s="2" t="str">
        <f t="shared" si="1377"/>
        <v/>
      </c>
      <c r="AS51" s="2" t="str">
        <f t="shared" si="1377"/>
        <v/>
      </c>
      <c r="AT51" s="2" t="str">
        <f t="shared" si="1377"/>
        <v/>
      </c>
      <c r="AU51" s="2" t="str">
        <f t="shared" si="1377"/>
        <v/>
      </c>
      <c r="AV51" s="2" t="str">
        <f t="shared" si="1377"/>
        <v/>
      </c>
      <c r="AW51" s="2" t="str">
        <f t="shared" si="1377"/>
        <v/>
      </c>
      <c r="AX51" s="2" t="str">
        <f t="shared" si="1377"/>
        <v/>
      </c>
      <c r="AY51" s="2" t="str">
        <f t="shared" si="1377"/>
        <v/>
      </c>
      <c r="AZ51" s="2" t="str">
        <f t="shared" si="1377"/>
        <v/>
      </c>
      <c r="BA51" s="2" t="str">
        <f t="shared" si="1377"/>
        <v/>
      </c>
      <c r="BB51" s="2" t="str">
        <f t="shared" si="1377"/>
        <v/>
      </c>
      <c r="BC51" s="2" t="str">
        <f t="shared" si="1377"/>
        <v/>
      </c>
      <c r="BD51" s="2" t="str">
        <f t="shared" si="1377"/>
        <v/>
      </c>
      <c r="BE51" s="2" t="str">
        <f t="shared" si="1377"/>
        <v>a</v>
      </c>
      <c r="BF51" s="2" t="str">
        <f t="shared" si="1377"/>
        <v>a</v>
      </c>
      <c r="BG51" s="2" t="str">
        <f t="shared" si="1377"/>
        <v/>
      </c>
      <c r="BH51" s="2" t="str">
        <f t="shared" si="1377"/>
        <v/>
      </c>
      <c r="BI51" s="2" t="str">
        <f t="shared" si="1377"/>
        <v/>
      </c>
      <c r="BJ51" s="2" t="str">
        <f t="shared" si="1377"/>
        <v/>
      </c>
      <c r="BK51" s="2" t="str">
        <f t="shared" si="1377"/>
        <v/>
      </c>
      <c r="BL51" s="2" t="str">
        <f t="shared" si="1377"/>
        <v/>
      </c>
      <c r="BM51" s="2" t="str">
        <f t="shared" si="1377"/>
        <v/>
      </c>
      <c r="BN51" s="2" t="str">
        <f t="shared" si="1377"/>
        <v/>
      </c>
      <c r="BO51" s="2" t="str">
        <f t="shared" si="1377"/>
        <v/>
      </c>
      <c r="BP51" s="2" t="str">
        <f t="shared" si="1377"/>
        <v/>
      </c>
      <c r="BQ51" s="2" t="str">
        <f t="shared" si="1377"/>
        <v/>
      </c>
      <c r="BR51" s="2" t="str">
        <f t="shared" si="1377"/>
        <v/>
      </c>
      <c r="BS51" s="2" t="str">
        <f t="shared" si="1377"/>
        <v/>
      </c>
      <c r="BT51" s="2" t="str">
        <f t="shared" si="1377"/>
        <v/>
      </c>
      <c r="BU51" s="2" t="str">
        <f t="shared" si="1377"/>
        <v/>
      </c>
      <c r="BV51" s="2" t="str">
        <f t="shared" si="1377"/>
        <v/>
      </c>
      <c r="BW51" s="2" t="str">
        <f t="shared" si="1377"/>
        <v/>
      </c>
      <c r="BX51" s="2" t="str">
        <f t="shared" si="1377"/>
        <v/>
      </c>
      <c r="BY51" s="2" t="str">
        <f t="shared" si="1377"/>
        <v/>
      </c>
    </row>
    <row r="52" spans="1:77" x14ac:dyDescent="0.3">
      <c r="A52" s="15"/>
      <c r="B52" s="15"/>
      <c r="C52" s="15"/>
      <c r="D52" s="4">
        <v>46188</v>
      </c>
      <c r="E52" s="4">
        <v>46189</v>
      </c>
      <c r="F52" s="13"/>
      <c r="G52" s="13"/>
      <c r="H52" s="2" t="str">
        <f>IF($B51="","",IF(AND($D52&lt;=H$3,$E52&gt;=H$3),"ac",""))</f>
        <v/>
      </c>
      <c r="I52" s="2" t="str">
        <f t="shared" ref="I52" si="1378">IF($B51="","",IF(AND($D52&lt;=I$3,$E52&gt;=I$3),"ac",""))</f>
        <v/>
      </c>
      <c r="J52" s="2" t="str">
        <f t="shared" ref="J52" si="1379">IF($B51="","",IF(AND($D52&lt;=J$3,$E52&gt;=J$3),"ac",""))</f>
        <v/>
      </c>
      <c r="K52" s="2" t="str">
        <f t="shared" ref="K52" si="1380">IF($B51="","",IF(AND($D52&lt;=K$3,$E52&gt;=K$3),"ac",""))</f>
        <v/>
      </c>
      <c r="L52" s="2" t="str">
        <f t="shared" ref="L52" si="1381">IF($B51="","",IF(AND($D52&lt;=L$3,$E52&gt;=L$3),"ac",""))</f>
        <v/>
      </c>
      <c r="M52" s="2" t="str">
        <f t="shared" ref="M52" si="1382">IF($B51="","",IF(AND($D52&lt;=M$3,$E52&gt;=M$3),"ac",""))</f>
        <v/>
      </c>
      <c r="N52" s="2" t="str">
        <f t="shared" ref="N52" si="1383">IF($B51="","",IF(AND($D52&lt;=N$3,$E52&gt;=N$3),"ac",""))</f>
        <v/>
      </c>
      <c r="O52" s="2" t="str">
        <f t="shared" ref="O52" si="1384">IF($B51="","",IF(AND($D52&lt;=O$3,$E52&gt;=O$3),"ac",""))</f>
        <v/>
      </c>
      <c r="P52" s="2" t="str">
        <f t="shared" ref="P52" si="1385">IF($B51="","",IF(AND($D52&lt;=P$3,$E52&gt;=P$3),"ac",""))</f>
        <v/>
      </c>
      <c r="Q52" s="2" t="str">
        <f t="shared" ref="Q52" si="1386">IF($B51="","",IF(AND($D52&lt;=Q$3,$E52&gt;=Q$3),"ac",""))</f>
        <v/>
      </c>
      <c r="R52" s="2" t="str">
        <f t="shared" ref="R52" si="1387">IF($B51="","",IF(AND($D52&lt;=R$3,$E52&gt;=R$3),"ac",""))</f>
        <v/>
      </c>
      <c r="S52" s="2" t="str">
        <f t="shared" ref="S52" si="1388">IF($B51="","",IF(AND($D52&lt;=S$3,$E52&gt;=S$3),"ac",""))</f>
        <v/>
      </c>
      <c r="T52" s="2" t="str">
        <f t="shared" ref="T52" si="1389">IF($B51="","",IF(AND($D52&lt;=T$3,$E52&gt;=T$3),"ac",""))</f>
        <v/>
      </c>
      <c r="U52" s="2" t="str">
        <f t="shared" ref="U52" si="1390">IF($B51="","",IF(AND($D52&lt;=U$3,$E52&gt;=U$3),"ac",""))</f>
        <v/>
      </c>
      <c r="V52" s="2" t="str">
        <f t="shared" ref="V52" si="1391">IF($B51="","",IF(AND($D52&lt;=V$3,$E52&gt;=V$3),"ac",""))</f>
        <v/>
      </c>
      <c r="W52" s="2" t="str">
        <f t="shared" ref="W52" si="1392">IF($B51="","",IF(AND($D52&lt;=W$3,$E52&gt;=W$3),"ac",""))</f>
        <v/>
      </c>
      <c r="X52" s="2" t="str">
        <f t="shared" ref="X52" si="1393">IF($B51="","",IF(AND($D52&lt;=X$3,$E52&gt;=X$3),"ac",""))</f>
        <v/>
      </c>
      <c r="Y52" s="2" t="str">
        <f t="shared" ref="Y52" si="1394">IF($B51="","",IF(AND($D52&lt;=Y$3,$E52&gt;=Y$3),"ac",""))</f>
        <v/>
      </c>
      <c r="Z52" s="2" t="str">
        <f t="shared" ref="Z52" si="1395">IF($B51="","",IF(AND($D52&lt;=Z$3,$E52&gt;=Z$3),"ac",""))</f>
        <v/>
      </c>
      <c r="AA52" s="2" t="str">
        <f t="shared" ref="AA52" si="1396">IF($B51="","",IF(AND($D52&lt;=AA$3,$E52&gt;=AA$3),"ac",""))</f>
        <v/>
      </c>
      <c r="AB52" s="2" t="str">
        <f t="shared" ref="AB52" si="1397">IF($B51="","",IF(AND($D52&lt;=AB$3,$E52&gt;=AB$3),"ac",""))</f>
        <v/>
      </c>
      <c r="AC52" s="2" t="str">
        <f t="shared" ref="AC52" si="1398">IF($B51="","",IF(AND($D52&lt;=AC$3,$E52&gt;=AC$3),"ac",""))</f>
        <v/>
      </c>
      <c r="AD52" s="2" t="str">
        <f t="shared" ref="AD52" si="1399">IF($B51="","",IF(AND($D52&lt;=AD$3,$E52&gt;=AD$3),"ac",""))</f>
        <v/>
      </c>
      <c r="AE52" s="2" t="str">
        <f t="shared" ref="AE52" si="1400">IF($B51="","",IF(AND($D52&lt;=AE$3,$E52&gt;=AE$3),"ac",""))</f>
        <v/>
      </c>
      <c r="AF52" s="2" t="str">
        <f t="shared" ref="AF52" si="1401">IF($B51="","",IF(AND($D52&lt;=AF$3,$E52&gt;=AF$3),"ac",""))</f>
        <v/>
      </c>
      <c r="AG52" s="2" t="str">
        <f t="shared" ref="AG52" si="1402">IF($B51="","",IF(AND($D52&lt;=AG$3,$E52&gt;=AG$3),"ac",""))</f>
        <v/>
      </c>
      <c r="AH52" s="2" t="str">
        <f t="shared" ref="AH52" si="1403">IF($B51="","",IF(AND($D52&lt;=AH$3,$E52&gt;=AH$3),"ac",""))</f>
        <v/>
      </c>
      <c r="AI52" s="2" t="str">
        <f t="shared" ref="AI52" si="1404">IF($B51="","",IF(AND($D52&lt;=AI$3,$E52&gt;=AI$3),"ac",""))</f>
        <v/>
      </c>
      <c r="AJ52" s="2" t="str">
        <f t="shared" ref="AJ52" si="1405">IF($B51="","",IF(AND($D52&lt;=AJ$3,$E52&gt;=AJ$3),"ac",""))</f>
        <v/>
      </c>
      <c r="AK52" s="2" t="str">
        <f t="shared" ref="AK52" si="1406">IF($B51="","",IF(AND($D52&lt;=AK$3,$E52&gt;=AK$3),"ac",""))</f>
        <v/>
      </c>
      <c r="AL52" s="2" t="str">
        <f t="shared" ref="AL52" si="1407">IF($B51="","",IF(AND($D52&lt;=AL$3,$E52&gt;=AL$3),"ac",""))</f>
        <v/>
      </c>
      <c r="AM52" s="2" t="str">
        <f t="shared" ref="AM52" si="1408">IF($B51="","",IF(AND($D52&lt;=AM$3,$E52&gt;=AM$3),"ac",""))</f>
        <v/>
      </c>
      <c r="AN52" s="2" t="str">
        <f t="shared" ref="AN52" si="1409">IF($B51="","",IF(AND($D52&lt;=AN$3,$E52&gt;=AN$3),"ac",""))</f>
        <v/>
      </c>
      <c r="AO52" s="2" t="str">
        <f t="shared" ref="AO52" si="1410">IF($B51="","",IF(AND($D52&lt;=AO$3,$E52&gt;=AO$3),"ac",""))</f>
        <v/>
      </c>
      <c r="AP52" s="2" t="str">
        <f t="shared" ref="AP52" si="1411">IF($B51="","",IF(AND($D52&lt;=AP$3,$E52&gt;=AP$3),"ac",""))</f>
        <v/>
      </c>
      <c r="AQ52" s="2" t="str">
        <f t="shared" ref="AQ52" si="1412">IF($B51="","",IF(AND($D52&lt;=AQ$3,$E52&gt;=AQ$3),"ac",""))</f>
        <v/>
      </c>
      <c r="AR52" s="2" t="str">
        <f t="shared" ref="AR52" si="1413">IF($B51="","",IF(AND($D52&lt;=AR$3,$E52&gt;=AR$3),"ac",""))</f>
        <v/>
      </c>
      <c r="AS52" s="2" t="str">
        <f t="shared" ref="AS52" si="1414">IF($B51="","",IF(AND($D52&lt;=AS$3,$E52&gt;=AS$3),"ac",""))</f>
        <v/>
      </c>
      <c r="AT52" s="2" t="str">
        <f t="shared" ref="AT52" si="1415">IF($B51="","",IF(AND($D52&lt;=AT$3,$E52&gt;=AT$3),"ac",""))</f>
        <v/>
      </c>
      <c r="AU52" s="2" t="str">
        <f t="shared" ref="AU52" si="1416">IF($B51="","",IF(AND($D52&lt;=AU$3,$E52&gt;=AU$3),"ac",""))</f>
        <v/>
      </c>
      <c r="AV52" s="2" t="str">
        <f t="shared" ref="AV52" si="1417">IF($B51="","",IF(AND($D52&lt;=AV$3,$E52&gt;=AV$3),"ac",""))</f>
        <v/>
      </c>
      <c r="AW52" s="2" t="str">
        <f t="shared" ref="AW52" si="1418">IF($B51="","",IF(AND($D52&lt;=AW$3,$E52&gt;=AW$3),"ac",""))</f>
        <v/>
      </c>
      <c r="AX52" s="2" t="str">
        <f t="shared" ref="AX52" si="1419">IF($B51="","",IF(AND($D52&lt;=AX$3,$E52&gt;=AX$3),"ac",""))</f>
        <v/>
      </c>
      <c r="AY52" s="2" t="str">
        <f t="shared" ref="AY52" si="1420">IF($B51="","",IF(AND($D52&lt;=AY$3,$E52&gt;=AY$3),"ac",""))</f>
        <v/>
      </c>
      <c r="AZ52" s="2" t="str">
        <f t="shared" ref="AZ52" si="1421">IF($B51="","",IF(AND($D52&lt;=AZ$3,$E52&gt;=AZ$3),"ac",""))</f>
        <v/>
      </c>
      <c r="BA52" s="2" t="str">
        <f t="shared" ref="BA52" si="1422">IF($B51="","",IF(AND($D52&lt;=BA$3,$E52&gt;=BA$3),"ac",""))</f>
        <v/>
      </c>
      <c r="BB52" s="2" t="str">
        <f t="shared" ref="BB52" si="1423">IF($B51="","",IF(AND($D52&lt;=BB$3,$E52&gt;=BB$3),"ac",""))</f>
        <v/>
      </c>
      <c r="BC52" s="2" t="str">
        <f t="shared" ref="BC52" si="1424">IF($B51="","",IF(AND($D52&lt;=BC$3,$E52&gt;=BC$3),"ac",""))</f>
        <v/>
      </c>
      <c r="BD52" s="2" t="str">
        <f t="shared" ref="BD52" si="1425">IF($B51="","",IF(AND($D52&lt;=BD$3,$E52&gt;=BD$3),"ac",""))</f>
        <v/>
      </c>
      <c r="BE52" s="2" t="str">
        <f t="shared" ref="BE52" si="1426">IF($B51="","",IF(AND($D52&lt;=BE$3,$E52&gt;=BE$3),"ac",""))</f>
        <v>ac</v>
      </c>
      <c r="BF52" s="2" t="str">
        <f t="shared" ref="BF52" si="1427">IF($B51="","",IF(AND($D52&lt;=BF$3,$E52&gt;=BF$3),"ac",""))</f>
        <v>ac</v>
      </c>
      <c r="BG52" s="2" t="str">
        <f t="shared" ref="BG52" si="1428">IF($B51="","",IF(AND($D52&lt;=BG$3,$E52&gt;=BG$3),"ac",""))</f>
        <v/>
      </c>
      <c r="BH52" s="2" t="str">
        <f t="shared" ref="BH52" si="1429">IF($B51="","",IF(AND($D52&lt;=BH$3,$E52&gt;=BH$3),"ac",""))</f>
        <v/>
      </c>
      <c r="BI52" s="2" t="str">
        <f t="shared" ref="BI52" si="1430">IF($B51="","",IF(AND($D52&lt;=BI$3,$E52&gt;=BI$3),"ac",""))</f>
        <v/>
      </c>
      <c r="BJ52" s="2" t="str">
        <f t="shared" ref="BJ52" si="1431">IF($B51="","",IF(AND($D52&lt;=BJ$3,$E52&gt;=BJ$3),"ac",""))</f>
        <v/>
      </c>
      <c r="BK52" s="2" t="str">
        <f t="shared" ref="BK52" si="1432">IF($B51="","",IF(AND($D52&lt;=BK$3,$E52&gt;=BK$3),"ac",""))</f>
        <v/>
      </c>
      <c r="BL52" s="2" t="str">
        <f t="shared" ref="BL52" si="1433">IF($B51="","",IF(AND($D52&lt;=BL$3,$E52&gt;=BL$3),"ac",""))</f>
        <v/>
      </c>
      <c r="BM52" s="2" t="str">
        <f t="shared" ref="BM52" si="1434">IF($B51="","",IF(AND($D52&lt;=BM$3,$E52&gt;=BM$3),"ac",""))</f>
        <v/>
      </c>
      <c r="BN52" s="2" t="str">
        <f t="shared" ref="BN52" si="1435">IF($B51="","",IF(AND($D52&lt;=BN$3,$E52&gt;=BN$3),"ac",""))</f>
        <v/>
      </c>
      <c r="BO52" s="2" t="str">
        <f t="shared" ref="BO52" si="1436">IF($B51="","",IF(AND($D52&lt;=BO$3,$E52&gt;=BO$3),"ac",""))</f>
        <v/>
      </c>
      <c r="BP52" s="2" t="str">
        <f t="shared" ref="BP52" si="1437">IF($B51="","",IF(AND($D52&lt;=BP$3,$E52&gt;=BP$3),"ac",""))</f>
        <v/>
      </c>
      <c r="BQ52" s="2" t="str">
        <f t="shared" ref="BQ52" si="1438">IF($B51="","",IF(AND($D52&lt;=BQ$3,$E52&gt;=BQ$3),"ac",""))</f>
        <v/>
      </c>
      <c r="BR52" s="2" t="str">
        <f t="shared" ref="BR52" si="1439">IF($B51="","",IF(AND($D52&lt;=BR$3,$E52&gt;=BR$3),"ac",""))</f>
        <v/>
      </c>
      <c r="BS52" s="2" t="str">
        <f t="shared" ref="BS52" si="1440">IF($B51="","",IF(AND($D52&lt;=BS$3,$E52&gt;=BS$3),"ac",""))</f>
        <v/>
      </c>
      <c r="BT52" s="2" t="str">
        <f t="shared" ref="BT52" si="1441">IF($B51="","",IF(AND($D52&lt;=BT$3,$E52&gt;=BT$3),"ac",""))</f>
        <v/>
      </c>
      <c r="BU52" s="2" t="str">
        <f t="shared" ref="BU52" si="1442">IF($B51="","",IF(AND($D52&lt;=BU$3,$E52&gt;=BU$3),"ac",""))</f>
        <v/>
      </c>
      <c r="BV52" s="2" t="str">
        <f t="shared" ref="BV52" si="1443">IF($B51="","",IF(AND($D52&lt;=BV$3,$E52&gt;=BV$3),"ac",""))</f>
        <v/>
      </c>
      <c r="BW52" s="2" t="str">
        <f t="shared" ref="BW52" si="1444">IF($B51="","",IF(AND($D52&lt;=BW$3,$E52&gt;=BW$3),"ac",""))</f>
        <v/>
      </c>
      <c r="BX52" s="2" t="str">
        <f t="shared" ref="BX52" si="1445">IF($B51="","",IF(AND($D52&lt;=BX$3,$E52&gt;=BX$3),"ac",""))</f>
        <v/>
      </c>
      <c r="BY52" s="2" t="str">
        <f t="shared" ref="BY52" si="1446">IF($B51="","",IF(AND($D52&lt;=BY$3,$E52&gt;=BY$3),"ac",""))</f>
        <v/>
      </c>
    </row>
    <row r="53" spans="1:77" ht="20.25" x14ac:dyDescent="0.3">
      <c r="A53" s="17">
        <v>5</v>
      </c>
      <c r="B53" s="18" t="s">
        <v>25</v>
      </c>
      <c r="C53" s="17">
        <f t="shared" si="98"/>
        <v>3</v>
      </c>
      <c r="D53" s="19">
        <v>46190</v>
      </c>
      <c r="E53" s="19">
        <v>46192</v>
      </c>
      <c r="F53" s="17" t="s">
        <v>47</v>
      </c>
      <c r="G53" s="17">
        <v>4</v>
      </c>
      <c r="H53" s="2" t="str">
        <f>IF($B53="","",IF(AND($D53&lt;=H$3,$E53&gt;=H$3),"a",""))</f>
        <v/>
      </c>
      <c r="I53" s="2" t="str">
        <f t="shared" ref="I53:Y54" si="1447">IF($B53="","",IF(AND($D53&lt;=I$3,$E53&gt;=I$3),"a",""))</f>
        <v/>
      </c>
      <c r="J53" s="2" t="str">
        <f t="shared" si="1447"/>
        <v/>
      </c>
      <c r="K53" s="2" t="str">
        <f t="shared" si="1447"/>
        <v/>
      </c>
      <c r="L53" s="2" t="str">
        <f t="shared" si="1447"/>
        <v/>
      </c>
      <c r="M53" s="2" t="str">
        <f t="shared" si="1447"/>
        <v/>
      </c>
      <c r="N53" s="2" t="str">
        <f t="shared" si="1447"/>
        <v/>
      </c>
      <c r="O53" s="2" t="str">
        <f t="shared" si="1447"/>
        <v/>
      </c>
      <c r="P53" s="2" t="str">
        <f t="shared" si="1447"/>
        <v/>
      </c>
      <c r="Q53" s="2" t="str">
        <f t="shared" si="1447"/>
        <v/>
      </c>
      <c r="R53" s="2" t="str">
        <f t="shared" si="1447"/>
        <v/>
      </c>
      <c r="S53" s="2" t="str">
        <f t="shared" si="1447"/>
        <v/>
      </c>
      <c r="T53" s="2" t="str">
        <f t="shared" si="1447"/>
        <v/>
      </c>
      <c r="U53" s="2" t="str">
        <f t="shared" si="1447"/>
        <v/>
      </c>
      <c r="V53" s="2" t="str">
        <f t="shared" si="1447"/>
        <v/>
      </c>
      <c r="W53" s="2" t="str">
        <f t="shared" si="1447"/>
        <v/>
      </c>
      <c r="X53" s="2" t="str">
        <f t="shared" si="1447"/>
        <v/>
      </c>
      <c r="Y53" s="2" t="str">
        <f t="shared" si="1447"/>
        <v/>
      </c>
      <c r="Z53" s="2" t="str">
        <f t="shared" ref="Z53:BY53" si="1448">IF($B53="","",IF(AND($D53&lt;=Z$3,$E53&gt;=Z$3),"a",""))</f>
        <v/>
      </c>
      <c r="AA53" s="2" t="str">
        <f t="shared" si="1448"/>
        <v/>
      </c>
      <c r="AB53" s="2" t="str">
        <f t="shared" si="1448"/>
        <v/>
      </c>
      <c r="AC53" s="2" t="str">
        <f t="shared" si="1448"/>
        <v/>
      </c>
      <c r="AD53" s="2" t="str">
        <f t="shared" si="1448"/>
        <v/>
      </c>
      <c r="AE53" s="2" t="str">
        <f t="shared" si="1448"/>
        <v/>
      </c>
      <c r="AF53" s="2" t="str">
        <f t="shared" si="1448"/>
        <v/>
      </c>
      <c r="AG53" s="2" t="str">
        <f t="shared" si="1448"/>
        <v/>
      </c>
      <c r="AH53" s="2" t="str">
        <f t="shared" si="1448"/>
        <v/>
      </c>
      <c r="AI53" s="2" t="str">
        <f t="shared" si="1448"/>
        <v/>
      </c>
      <c r="AJ53" s="2" t="str">
        <f t="shared" si="1448"/>
        <v/>
      </c>
      <c r="AK53" s="2" t="str">
        <f t="shared" si="1448"/>
        <v/>
      </c>
      <c r="AL53" s="2" t="str">
        <f t="shared" si="1448"/>
        <v/>
      </c>
      <c r="AM53" s="2" t="str">
        <f t="shared" si="1448"/>
        <v/>
      </c>
      <c r="AN53" s="2" t="str">
        <f t="shared" si="1448"/>
        <v/>
      </c>
      <c r="AO53" s="2" t="str">
        <f t="shared" si="1448"/>
        <v/>
      </c>
      <c r="AP53" s="2" t="str">
        <f t="shared" si="1448"/>
        <v/>
      </c>
      <c r="AQ53" s="2" t="str">
        <f t="shared" si="1448"/>
        <v/>
      </c>
      <c r="AR53" s="2" t="str">
        <f t="shared" si="1448"/>
        <v/>
      </c>
      <c r="AS53" s="2" t="str">
        <f t="shared" si="1448"/>
        <v/>
      </c>
      <c r="AT53" s="2" t="str">
        <f t="shared" si="1448"/>
        <v/>
      </c>
      <c r="AU53" s="2" t="str">
        <f t="shared" si="1448"/>
        <v/>
      </c>
      <c r="AV53" s="2" t="str">
        <f t="shared" si="1448"/>
        <v/>
      </c>
      <c r="AW53" s="2" t="str">
        <f t="shared" si="1448"/>
        <v/>
      </c>
      <c r="AX53" s="2" t="str">
        <f t="shared" si="1448"/>
        <v/>
      </c>
      <c r="AY53" s="2" t="str">
        <f t="shared" si="1448"/>
        <v/>
      </c>
      <c r="AZ53" s="2" t="str">
        <f t="shared" si="1448"/>
        <v/>
      </c>
      <c r="BA53" s="2" t="str">
        <f t="shared" si="1448"/>
        <v/>
      </c>
      <c r="BB53" s="2" t="str">
        <f t="shared" si="1448"/>
        <v/>
      </c>
      <c r="BC53" s="2" t="str">
        <f t="shared" si="1448"/>
        <v/>
      </c>
      <c r="BD53" s="2" t="str">
        <f t="shared" si="1448"/>
        <v/>
      </c>
      <c r="BE53" s="2" t="str">
        <f t="shared" si="1448"/>
        <v/>
      </c>
      <c r="BF53" s="2" t="str">
        <f t="shared" si="1448"/>
        <v/>
      </c>
      <c r="BG53" s="2" t="str">
        <f t="shared" si="1448"/>
        <v>a</v>
      </c>
      <c r="BH53" s="2" t="str">
        <f t="shared" si="1448"/>
        <v>a</v>
      </c>
      <c r="BI53" s="2" t="str">
        <f t="shared" si="1448"/>
        <v>a</v>
      </c>
      <c r="BJ53" s="2" t="str">
        <f t="shared" si="1448"/>
        <v/>
      </c>
      <c r="BK53" s="2" t="str">
        <f t="shared" si="1448"/>
        <v/>
      </c>
      <c r="BL53" s="2" t="str">
        <f t="shared" si="1448"/>
        <v/>
      </c>
      <c r="BM53" s="2" t="str">
        <f t="shared" si="1448"/>
        <v/>
      </c>
      <c r="BN53" s="2" t="str">
        <f t="shared" si="1448"/>
        <v/>
      </c>
      <c r="BO53" s="2" t="str">
        <f t="shared" si="1448"/>
        <v/>
      </c>
      <c r="BP53" s="2" t="str">
        <f t="shared" si="1448"/>
        <v/>
      </c>
      <c r="BQ53" s="2" t="str">
        <f t="shared" si="1448"/>
        <v/>
      </c>
      <c r="BR53" s="2" t="str">
        <f t="shared" si="1448"/>
        <v/>
      </c>
      <c r="BS53" s="2" t="str">
        <f t="shared" si="1448"/>
        <v/>
      </c>
      <c r="BT53" s="2" t="str">
        <f t="shared" si="1448"/>
        <v/>
      </c>
      <c r="BU53" s="2" t="str">
        <f t="shared" si="1448"/>
        <v/>
      </c>
      <c r="BV53" s="2" t="str">
        <f t="shared" si="1448"/>
        <v/>
      </c>
      <c r="BW53" s="2" t="str">
        <f t="shared" si="1448"/>
        <v/>
      </c>
      <c r="BX53" s="2" t="str">
        <f t="shared" si="1448"/>
        <v/>
      </c>
      <c r="BY53" s="2" t="str">
        <f t="shared" si="1448"/>
        <v/>
      </c>
    </row>
    <row r="54" spans="1:77" ht="20.25" x14ac:dyDescent="0.3">
      <c r="A54" s="17"/>
      <c r="B54" s="17"/>
      <c r="C54" s="17"/>
      <c r="D54" s="19">
        <v>46190</v>
      </c>
      <c r="E54" s="19">
        <v>46192</v>
      </c>
      <c r="F54" s="17"/>
      <c r="G54" s="17"/>
      <c r="H54" s="2" t="str">
        <f>IF($B53="","",IF(AND($D54&lt;=H$3,$E54&gt;=H$3),"ac",""))</f>
        <v/>
      </c>
      <c r="I54" s="2" t="str">
        <f t="shared" ref="I54" si="1449">IF($B53="","",IF(AND($D54&lt;=I$3,$E54&gt;=I$3),"ac",""))</f>
        <v/>
      </c>
      <c r="J54" s="2" t="str">
        <f t="shared" ref="J54" si="1450">IF($B53="","",IF(AND($D54&lt;=J$3,$E54&gt;=J$3),"ac",""))</f>
        <v/>
      </c>
      <c r="K54" s="2" t="str">
        <f t="shared" ref="K54" si="1451">IF($B53="","",IF(AND($D54&lt;=K$3,$E54&gt;=K$3),"ac",""))</f>
        <v/>
      </c>
      <c r="L54" s="2" t="str">
        <f t="shared" ref="L54" si="1452">IF($B53="","",IF(AND($D54&lt;=L$3,$E54&gt;=L$3),"ac",""))</f>
        <v/>
      </c>
      <c r="M54" s="2" t="str">
        <f t="shared" ref="M54" si="1453">IF($B53="","",IF(AND($D54&lt;=M$3,$E54&gt;=M$3),"ac",""))</f>
        <v/>
      </c>
      <c r="N54" s="2" t="str">
        <f t="shared" ref="N54" si="1454">IF($B53="","",IF(AND($D54&lt;=N$3,$E54&gt;=N$3),"ac",""))</f>
        <v/>
      </c>
      <c r="O54" s="2" t="str">
        <f t="shared" ref="O54" si="1455">IF($B53="","",IF(AND($D54&lt;=O$3,$E54&gt;=O$3),"ac",""))</f>
        <v/>
      </c>
      <c r="P54" s="2" t="str">
        <f t="shared" ref="P54" si="1456">IF($B53="","",IF(AND($D54&lt;=P$3,$E54&gt;=P$3),"ac",""))</f>
        <v/>
      </c>
      <c r="Q54" s="2" t="str">
        <f t="shared" ref="Q54" si="1457">IF($B53="","",IF(AND($D54&lt;=Q$3,$E54&gt;=Q$3),"ac",""))</f>
        <v/>
      </c>
      <c r="R54" s="2" t="str">
        <f t="shared" ref="R54" si="1458">IF($B53="","",IF(AND($D54&lt;=R$3,$E54&gt;=R$3),"ac",""))</f>
        <v/>
      </c>
      <c r="S54" s="2" t="str">
        <f t="shared" ref="S54" si="1459">IF($B53="","",IF(AND($D54&lt;=S$3,$E54&gt;=S$3),"ac",""))</f>
        <v/>
      </c>
      <c r="T54" s="2" t="str">
        <f t="shared" ref="T54" si="1460">IF($B53="","",IF(AND($D54&lt;=T$3,$E54&gt;=T$3),"ac",""))</f>
        <v/>
      </c>
      <c r="U54" s="2" t="str">
        <f t="shared" ref="U54" si="1461">IF($B53="","",IF(AND($D54&lt;=U$3,$E54&gt;=U$3),"ac",""))</f>
        <v/>
      </c>
      <c r="V54" s="2" t="str">
        <f t="shared" ref="V54" si="1462">IF($B53="","",IF(AND($D54&lt;=V$3,$E54&gt;=V$3),"ac",""))</f>
        <v/>
      </c>
      <c r="W54" s="2" t="str">
        <f t="shared" ref="W54" si="1463">IF($B53="","",IF(AND($D54&lt;=W$3,$E54&gt;=W$3),"ac",""))</f>
        <v/>
      </c>
      <c r="X54" s="2" t="str">
        <f t="shared" ref="X54" si="1464">IF($B53="","",IF(AND($D54&lt;=X$3,$E54&gt;=X$3),"ac",""))</f>
        <v/>
      </c>
      <c r="Y54" s="2" t="str">
        <f t="shared" ref="Y54" si="1465">IF($B53="","",IF(AND($D54&lt;=Y$3,$E54&gt;=Y$3),"ac",""))</f>
        <v/>
      </c>
      <c r="Z54" s="2" t="str">
        <f t="shared" ref="Z54" si="1466">IF($B53="","",IF(AND($D54&lt;=Z$3,$E54&gt;=Z$3),"ac",""))</f>
        <v/>
      </c>
      <c r="AA54" s="2" t="str">
        <f t="shared" ref="AA54" si="1467">IF($B53="","",IF(AND($D54&lt;=AA$3,$E54&gt;=AA$3),"ac",""))</f>
        <v/>
      </c>
      <c r="AB54" s="2" t="str">
        <f t="shared" ref="AB54" si="1468">IF($B53="","",IF(AND($D54&lt;=AB$3,$E54&gt;=AB$3),"ac",""))</f>
        <v/>
      </c>
      <c r="AC54" s="2" t="str">
        <f t="shared" ref="AC54" si="1469">IF($B53="","",IF(AND($D54&lt;=AC$3,$E54&gt;=AC$3),"ac",""))</f>
        <v/>
      </c>
      <c r="AD54" s="2" t="str">
        <f t="shared" ref="AD54" si="1470">IF($B53="","",IF(AND($D54&lt;=AD$3,$E54&gt;=AD$3),"ac",""))</f>
        <v/>
      </c>
      <c r="AE54" s="2" t="str">
        <f t="shared" ref="AE54" si="1471">IF($B53="","",IF(AND($D54&lt;=AE$3,$E54&gt;=AE$3),"ac",""))</f>
        <v/>
      </c>
      <c r="AF54" s="2" t="str">
        <f t="shared" ref="AF54" si="1472">IF($B53="","",IF(AND($D54&lt;=AF$3,$E54&gt;=AF$3),"ac",""))</f>
        <v/>
      </c>
      <c r="AG54" s="2" t="str">
        <f t="shared" ref="AG54" si="1473">IF($B53="","",IF(AND($D54&lt;=AG$3,$E54&gt;=AG$3),"ac",""))</f>
        <v/>
      </c>
      <c r="AH54" s="2" t="str">
        <f t="shared" ref="AH54" si="1474">IF($B53="","",IF(AND($D54&lt;=AH$3,$E54&gt;=AH$3),"ac",""))</f>
        <v/>
      </c>
      <c r="AI54" s="2" t="str">
        <f t="shared" ref="AI54" si="1475">IF($B53="","",IF(AND($D54&lt;=AI$3,$E54&gt;=AI$3),"ac",""))</f>
        <v/>
      </c>
      <c r="AJ54" s="2" t="str">
        <f t="shared" ref="AJ54" si="1476">IF($B53="","",IF(AND($D54&lt;=AJ$3,$E54&gt;=AJ$3),"ac",""))</f>
        <v/>
      </c>
      <c r="AK54" s="2" t="str">
        <f t="shared" ref="AK54" si="1477">IF($B53="","",IF(AND($D54&lt;=AK$3,$E54&gt;=AK$3),"ac",""))</f>
        <v/>
      </c>
      <c r="AL54" s="2" t="str">
        <f t="shared" ref="AL54" si="1478">IF($B53="","",IF(AND($D54&lt;=AL$3,$E54&gt;=AL$3),"ac",""))</f>
        <v/>
      </c>
      <c r="AM54" s="2" t="str">
        <f t="shared" ref="AM54" si="1479">IF($B53="","",IF(AND($D54&lt;=AM$3,$E54&gt;=AM$3),"ac",""))</f>
        <v/>
      </c>
      <c r="AN54" s="2" t="str">
        <f t="shared" ref="AN54" si="1480">IF($B53="","",IF(AND($D54&lt;=AN$3,$E54&gt;=AN$3),"ac",""))</f>
        <v/>
      </c>
      <c r="AO54" s="2" t="str">
        <f t="shared" ref="AO54" si="1481">IF($B53="","",IF(AND($D54&lt;=AO$3,$E54&gt;=AO$3),"ac",""))</f>
        <v/>
      </c>
      <c r="AP54" s="2" t="str">
        <f t="shared" ref="AP54" si="1482">IF($B53="","",IF(AND($D54&lt;=AP$3,$E54&gt;=AP$3),"ac",""))</f>
        <v/>
      </c>
      <c r="AQ54" s="2" t="str">
        <f t="shared" ref="AQ54" si="1483">IF($B53="","",IF(AND($D54&lt;=AQ$3,$E54&gt;=AQ$3),"ac",""))</f>
        <v/>
      </c>
      <c r="AR54" s="2" t="str">
        <f t="shared" ref="AR54" si="1484">IF($B53="","",IF(AND($D54&lt;=AR$3,$E54&gt;=AR$3),"ac",""))</f>
        <v/>
      </c>
      <c r="AS54" s="2" t="str">
        <f t="shared" ref="AS54" si="1485">IF($B53="","",IF(AND($D54&lt;=AS$3,$E54&gt;=AS$3),"ac",""))</f>
        <v/>
      </c>
      <c r="AT54" s="2" t="str">
        <f t="shared" ref="AT54" si="1486">IF($B53="","",IF(AND($D54&lt;=AT$3,$E54&gt;=AT$3),"ac",""))</f>
        <v/>
      </c>
      <c r="AU54" s="2" t="str">
        <f t="shared" ref="AU54" si="1487">IF($B53="","",IF(AND($D54&lt;=AU$3,$E54&gt;=AU$3),"ac",""))</f>
        <v/>
      </c>
      <c r="AV54" s="2" t="str">
        <f t="shared" ref="AV54" si="1488">IF($B53="","",IF(AND($D54&lt;=AV$3,$E54&gt;=AV$3),"ac",""))</f>
        <v/>
      </c>
      <c r="AW54" s="2" t="str">
        <f t="shared" ref="AW54" si="1489">IF($B53="","",IF(AND($D54&lt;=AW$3,$E54&gt;=AW$3),"ac",""))</f>
        <v/>
      </c>
      <c r="AX54" s="2" t="str">
        <f t="shared" ref="AX54" si="1490">IF($B53="","",IF(AND($D54&lt;=AX$3,$E54&gt;=AX$3),"ac",""))</f>
        <v/>
      </c>
      <c r="AY54" s="2" t="str">
        <f t="shared" ref="AY54" si="1491">IF($B53="","",IF(AND($D54&lt;=AY$3,$E54&gt;=AY$3),"ac",""))</f>
        <v/>
      </c>
      <c r="AZ54" s="2" t="str">
        <f t="shared" ref="AZ54" si="1492">IF($B53="","",IF(AND($D54&lt;=AZ$3,$E54&gt;=AZ$3),"ac",""))</f>
        <v/>
      </c>
      <c r="BA54" s="2" t="str">
        <f t="shared" ref="BA54" si="1493">IF($B53="","",IF(AND($D54&lt;=BA$3,$E54&gt;=BA$3),"ac",""))</f>
        <v/>
      </c>
      <c r="BB54" s="2" t="str">
        <f t="shared" ref="BB54" si="1494">IF($B53="","",IF(AND($D54&lt;=BB$3,$E54&gt;=BB$3),"ac",""))</f>
        <v/>
      </c>
      <c r="BC54" s="2" t="str">
        <f t="shared" ref="BC54" si="1495">IF($B53="","",IF(AND($D54&lt;=BC$3,$E54&gt;=BC$3),"ac",""))</f>
        <v/>
      </c>
      <c r="BD54" s="2" t="str">
        <f t="shared" ref="BD54" si="1496">IF($B53="","",IF(AND($D54&lt;=BD$3,$E54&gt;=BD$3),"ac",""))</f>
        <v/>
      </c>
      <c r="BE54" s="2" t="str">
        <f t="shared" ref="BE54" si="1497">IF($B53="","",IF(AND($D54&lt;=BE$3,$E54&gt;=BE$3),"ac",""))</f>
        <v/>
      </c>
      <c r="BF54" s="2" t="str">
        <f t="shared" ref="BF54" si="1498">IF($B53="","",IF(AND($D54&lt;=BF$3,$E54&gt;=BF$3),"ac",""))</f>
        <v/>
      </c>
      <c r="BG54" s="2" t="str">
        <f t="shared" ref="BG54" si="1499">IF($B53="","",IF(AND($D54&lt;=BG$3,$E54&gt;=BG$3),"ac",""))</f>
        <v>ac</v>
      </c>
      <c r="BH54" s="2" t="str">
        <f t="shared" ref="BH54" si="1500">IF($B53="","",IF(AND($D54&lt;=BH$3,$E54&gt;=BH$3),"ac",""))</f>
        <v>ac</v>
      </c>
      <c r="BI54" s="2" t="str">
        <f t="shared" ref="BI54" si="1501">IF($B53="","",IF(AND($D54&lt;=BI$3,$E54&gt;=BI$3),"ac",""))</f>
        <v>ac</v>
      </c>
      <c r="BJ54" s="2" t="str">
        <f t="shared" ref="BJ54" si="1502">IF($B53="","",IF(AND($D54&lt;=BJ$3,$E54&gt;=BJ$3),"ac",""))</f>
        <v/>
      </c>
      <c r="BK54" s="2" t="str">
        <f t="shared" ref="BK54" si="1503">IF($B53="","",IF(AND($D54&lt;=BK$3,$E54&gt;=BK$3),"ac",""))</f>
        <v/>
      </c>
      <c r="BL54" s="2" t="str">
        <f t="shared" ref="BL54" si="1504">IF($B53="","",IF(AND($D54&lt;=BL$3,$E54&gt;=BL$3),"ac",""))</f>
        <v/>
      </c>
      <c r="BM54" s="2" t="str">
        <f t="shared" ref="BM54" si="1505">IF($B53="","",IF(AND($D54&lt;=BM$3,$E54&gt;=BM$3),"ac",""))</f>
        <v/>
      </c>
      <c r="BN54" s="2" t="str">
        <f t="shared" ref="BN54" si="1506">IF($B53="","",IF(AND($D54&lt;=BN$3,$E54&gt;=BN$3),"ac",""))</f>
        <v/>
      </c>
      <c r="BO54" s="2" t="str">
        <f t="shared" ref="BO54" si="1507">IF($B53="","",IF(AND($D54&lt;=BO$3,$E54&gt;=BO$3),"ac",""))</f>
        <v/>
      </c>
      <c r="BP54" s="2" t="str">
        <f t="shared" ref="BP54" si="1508">IF($B53="","",IF(AND($D54&lt;=BP$3,$E54&gt;=BP$3),"ac",""))</f>
        <v/>
      </c>
      <c r="BQ54" s="2" t="str">
        <f t="shared" ref="BQ54" si="1509">IF($B53="","",IF(AND($D54&lt;=BQ$3,$E54&gt;=BQ$3),"ac",""))</f>
        <v/>
      </c>
      <c r="BR54" s="2" t="str">
        <f t="shared" ref="BR54" si="1510">IF($B53="","",IF(AND($D54&lt;=BR$3,$E54&gt;=BR$3),"ac",""))</f>
        <v/>
      </c>
      <c r="BS54" s="2" t="str">
        <f t="shared" ref="BS54" si="1511">IF($B53="","",IF(AND($D54&lt;=BS$3,$E54&gt;=BS$3),"ac",""))</f>
        <v/>
      </c>
      <c r="BT54" s="2" t="str">
        <f t="shared" ref="BT54" si="1512">IF($B53="","",IF(AND($D54&lt;=BT$3,$E54&gt;=BT$3),"ac",""))</f>
        <v/>
      </c>
      <c r="BU54" s="2" t="str">
        <f t="shared" ref="BU54" si="1513">IF($B53="","",IF(AND($D54&lt;=BU$3,$E54&gt;=BU$3),"ac",""))</f>
        <v/>
      </c>
      <c r="BV54" s="2" t="str">
        <f t="shared" ref="BV54" si="1514">IF($B53="","",IF(AND($D54&lt;=BV$3,$E54&gt;=BV$3),"ac",""))</f>
        <v/>
      </c>
      <c r="BW54" s="2" t="str">
        <f t="shared" ref="BW54" si="1515">IF($B53="","",IF(AND($D54&lt;=BW$3,$E54&gt;=BW$3),"ac",""))</f>
        <v/>
      </c>
      <c r="BX54" s="2" t="str">
        <f t="shared" ref="BX54" si="1516">IF($B53="","",IF(AND($D54&lt;=BX$3,$E54&gt;=BX$3),"ac",""))</f>
        <v/>
      </c>
      <c r="BY54" s="2" t="str">
        <f t="shared" ref="BY54" si="1517">IF($B53="","",IF(AND($D54&lt;=BY$3,$E54&gt;=BY$3),"ac",""))</f>
        <v/>
      </c>
    </row>
    <row r="55" spans="1:77" x14ac:dyDescent="0.3">
      <c r="A55" s="15">
        <v>5.0999999999999996</v>
      </c>
      <c r="B55" s="15" t="s">
        <v>26</v>
      </c>
      <c r="C55" s="15">
        <f t="shared" si="98"/>
        <v>2</v>
      </c>
      <c r="D55" s="4">
        <v>46190</v>
      </c>
      <c r="E55" s="4">
        <v>46191</v>
      </c>
      <c r="F55" s="13" t="s">
        <v>42</v>
      </c>
      <c r="G55" s="13">
        <v>4.2</v>
      </c>
      <c r="H55" s="2" t="str">
        <f>IF($B55="","",IF(AND($D55&lt;=H$3,$E55&gt;=H$3),"a",""))</f>
        <v/>
      </c>
      <c r="I55" s="2" t="str">
        <f t="shared" ref="I55:X56" si="1518">IF($B55="","",IF(AND($D55&lt;=I$3,$E55&gt;=I$3),"a",""))</f>
        <v/>
      </c>
      <c r="J55" s="2" t="str">
        <f t="shared" si="1518"/>
        <v/>
      </c>
      <c r="K55" s="2" t="str">
        <f t="shared" si="1518"/>
        <v/>
      </c>
      <c r="L55" s="2" t="str">
        <f t="shared" si="1518"/>
        <v/>
      </c>
      <c r="M55" s="2" t="str">
        <f t="shared" si="1518"/>
        <v/>
      </c>
      <c r="N55" s="2" t="str">
        <f t="shared" si="1518"/>
        <v/>
      </c>
      <c r="O55" s="2" t="str">
        <f t="shared" si="1518"/>
        <v/>
      </c>
      <c r="P55" s="2" t="str">
        <f t="shared" si="1518"/>
        <v/>
      </c>
      <c r="Q55" s="2" t="str">
        <f t="shared" si="1518"/>
        <v/>
      </c>
      <c r="R55" s="2" t="str">
        <f t="shared" si="1518"/>
        <v/>
      </c>
      <c r="S55" s="2" t="str">
        <f t="shared" si="1518"/>
        <v/>
      </c>
      <c r="T55" s="2" t="str">
        <f t="shared" si="1518"/>
        <v/>
      </c>
      <c r="U55" s="2" t="str">
        <f t="shared" si="1518"/>
        <v/>
      </c>
      <c r="V55" s="2" t="str">
        <f t="shared" si="1518"/>
        <v/>
      </c>
      <c r="W55" s="2" t="str">
        <f t="shared" si="1518"/>
        <v/>
      </c>
      <c r="X55" s="2" t="str">
        <f t="shared" si="1518"/>
        <v/>
      </c>
      <c r="Y55" s="2" t="str">
        <f t="shared" ref="Y55:BY55" si="1519">IF($B55="","",IF(AND($D55&lt;=Y$3,$E55&gt;=Y$3),"a",""))</f>
        <v/>
      </c>
      <c r="Z55" s="2" t="str">
        <f t="shared" si="1519"/>
        <v/>
      </c>
      <c r="AA55" s="2" t="str">
        <f t="shared" si="1519"/>
        <v/>
      </c>
      <c r="AB55" s="2" t="str">
        <f t="shared" si="1519"/>
        <v/>
      </c>
      <c r="AC55" s="2" t="str">
        <f t="shared" si="1519"/>
        <v/>
      </c>
      <c r="AD55" s="2" t="str">
        <f t="shared" si="1519"/>
        <v/>
      </c>
      <c r="AE55" s="2" t="str">
        <f t="shared" si="1519"/>
        <v/>
      </c>
      <c r="AF55" s="2" t="str">
        <f t="shared" si="1519"/>
        <v/>
      </c>
      <c r="AG55" s="2" t="str">
        <f t="shared" si="1519"/>
        <v/>
      </c>
      <c r="AH55" s="2" t="str">
        <f t="shared" si="1519"/>
        <v/>
      </c>
      <c r="AI55" s="2" t="str">
        <f t="shared" si="1519"/>
        <v/>
      </c>
      <c r="AJ55" s="2" t="str">
        <f t="shared" si="1519"/>
        <v/>
      </c>
      <c r="AK55" s="2" t="str">
        <f t="shared" si="1519"/>
        <v/>
      </c>
      <c r="AL55" s="2" t="str">
        <f t="shared" si="1519"/>
        <v/>
      </c>
      <c r="AM55" s="2" t="str">
        <f t="shared" si="1519"/>
        <v/>
      </c>
      <c r="AN55" s="2" t="str">
        <f t="shared" si="1519"/>
        <v/>
      </c>
      <c r="AO55" s="2" t="str">
        <f t="shared" si="1519"/>
        <v/>
      </c>
      <c r="AP55" s="2" t="str">
        <f t="shared" si="1519"/>
        <v/>
      </c>
      <c r="AQ55" s="2" t="str">
        <f t="shared" si="1519"/>
        <v/>
      </c>
      <c r="AR55" s="2" t="str">
        <f t="shared" si="1519"/>
        <v/>
      </c>
      <c r="AS55" s="2" t="str">
        <f t="shared" si="1519"/>
        <v/>
      </c>
      <c r="AT55" s="2" t="str">
        <f t="shared" si="1519"/>
        <v/>
      </c>
      <c r="AU55" s="2" t="str">
        <f t="shared" si="1519"/>
        <v/>
      </c>
      <c r="AV55" s="2" t="str">
        <f t="shared" si="1519"/>
        <v/>
      </c>
      <c r="AW55" s="2" t="str">
        <f t="shared" si="1519"/>
        <v/>
      </c>
      <c r="AX55" s="2" t="str">
        <f t="shared" si="1519"/>
        <v/>
      </c>
      <c r="AY55" s="2" t="str">
        <f t="shared" si="1519"/>
        <v/>
      </c>
      <c r="AZ55" s="2" t="str">
        <f t="shared" si="1519"/>
        <v/>
      </c>
      <c r="BA55" s="2" t="str">
        <f t="shared" si="1519"/>
        <v/>
      </c>
      <c r="BB55" s="2" t="str">
        <f t="shared" si="1519"/>
        <v/>
      </c>
      <c r="BC55" s="2" t="str">
        <f t="shared" si="1519"/>
        <v/>
      </c>
      <c r="BD55" s="2" t="str">
        <f t="shared" si="1519"/>
        <v/>
      </c>
      <c r="BE55" s="2" t="str">
        <f t="shared" si="1519"/>
        <v/>
      </c>
      <c r="BF55" s="2" t="str">
        <f t="shared" si="1519"/>
        <v/>
      </c>
      <c r="BG55" s="2" t="str">
        <f t="shared" si="1519"/>
        <v>a</v>
      </c>
      <c r="BH55" s="2" t="str">
        <f t="shared" si="1519"/>
        <v>a</v>
      </c>
      <c r="BI55" s="2" t="str">
        <f t="shared" si="1519"/>
        <v/>
      </c>
      <c r="BJ55" s="2" t="str">
        <f t="shared" si="1519"/>
        <v/>
      </c>
      <c r="BK55" s="2" t="str">
        <f t="shared" si="1519"/>
        <v/>
      </c>
      <c r="BL55" s="2" t="str">
        <f t="shared" si="1519"/>
        <v/>
      </c>
      <c r="BM55" s="2" t="str">
        <f t="shared" si="1519"/>
        <v/>
      </c>
      <c r="BN55" s="2" t="str">
        <f t="shared" si="1519"/>
        <v/>
      </c>
      <c r="BO55" s="2" t="str">
        <f t="shared" si="1519"/>
        <v/>
      </c>
      <c r="BP55" s="2" t="str">
        <f t="shared" si="1519"/>
        <v/>
      </c>
      <c r="BQ55" s="2" t="str">
        <f t="shared" si="1519"/>
        <v/>
      </c>
      <c r="BR55" s="2" t="str">
        <f t="shared" si="1519"/>
        <v/>
      </c>
      <c r="BS55" s="2" t="str">
        <f t="shared" si="1519"/>
        <v/>
      </c>
      <c r="BT55" s="2" t="str">
        <f t="shared" si="1519"/>
        <v/>
      </c>
      <c r="BU55" s="2" t="str">
        <f t="shared" si="1519"/>
        <v/>
      </c>
      <c r="BV55" s="2" t="str">
        <f t="shared" si="1519"/>
        <v/>
      </c>
      <c r="BW55" s="2" t="str">
        <f t="shared" si="1519"/>
        <v/>
      </c>
      <c r="BX55" s="2" t="str">
        <f t="shared" si="1519"/>
        <v/>
      </c>
      <c r="BY55" s="2" t="str">
        <f t="shared" si="1519"/>
        <v/>
      </c>
    </row>
    <row r="56" spans="1:77" x14ac:dyDescent="0.3">
      <c r="A56" s="15"/>
      <c r="B56" s="15"/>
      <c r="C56" s="15"/>
      <c r="D56" s="4">
        <v>46190</v>
      </c>
      <c r="E56" s="4">
        <v>46191</v>
      </c>
      <c r="F56" s="13"/>
      <c r="G56" s="13"/>
      <c r="H56" s="2" t="str">
        <f>IF($B55="","",IF(AND($D56&lt;=H$3,$E56&gt;=H$3),"ac",""))</f>
        <v/>
      </c>
      <c r="I56" s="2" t="str">
        <f t="shared" ref="I56" si="1520">IF($B55="","",IF(AND($D56&lt;=I$3,$E56&gt;=I$3),"ac",""))</f>
        <v/>
      </c>
      <c r="J56" s="2" t="str">
        <f t="shared" ref="J56" si="1521">IF($B55="","",IF(AND($D56&lt;=J$3,$E56&gt;=J$3),"ac",""))</f>
        <v/>
      </c>
      <c r="K56" s="2" t="str">
        <f t="shared" ref="K56" si="1522">IF($B55="","",IF(AND($D56&lt;=K$3,$E56&gt;=K$3),"ac",""))</f>
        <v/>
      </c>
      <c r="L56" s="2" t="str">
        <f t="shared" ref="L56" si="1523">IF($B55="","",IF(AND($D56&lt;=L$3,$E56&gt;=L$3),"ac",""))</f>
        <v/>
      </c>
      <c r="M56" s="2" t="str">
        <f t="shared" ref="M56" si="1524">IF($B55="","",IF(AND($D56&lt;=M$3,$E56&gt;=M$3),"ac",""))</f>
        <v/>
      </c>
      <c r="N56" s="2" t="str">
        <f t="shared" ref="N56" si="1525">IF($B55="","",IF(AND($D56&lt;=N$3,$E56&gt;=N$3),"ac",""))</f>
        <v/>
      </c>
      <c r="O56" s="2" t="str">
        <f t="shared" ref="O56" si="1526">IF($B55="","",IF(AND($D56&lt;=O$3,$E56&gt;=O$3),"ac",""))</f>
        <v/>
      </c>
      <c r="P56" s="2" t="str">
        <f t="shared" ref="P56" si="1527">IF($B55="","",IF(AND($D56&lt;=P$3,$E56&gt;=P$3),"ac",""))</f>
        <v/>
      </c>
      <c r="Q56" s="2" t="str">
        <f t="shared" ref="Q56" si="1528">IF($B55="","",IF(AND($D56&lt;=Q$3,$E56&gt;=Q$3),"ac",""))</f>
        <v/>
      </c>
      <c r="R56" s="2" t="str">
        <f t="shared" ref="R56" si="1529">IF($B55="","",IF(AND($D56&lt;=R$3,$E56&gt;=R$3),"ac",""))</f>
        <v/>
      </c>
      <c r="S56" s="2" t="str">
        <f t="shared" ref="S56" si="1530">IF($B55="","",IF(AND($D56&lt;=S$3,$E56&gt;=S$3),"ac",""))</f>
        <v/>
      </c>
      <c r="T56" s="2" t="str">
        <f t="shared" ref="T56" si="1531">IF($B55="","",IF(AND($D56&lt;=T$3,$E56&gt;=T$3),"ac",""))</f>
        <v/>
      </c>
      <c r="U56" s="2" t="str">
        <f t="shared" ref="U56" si="1532">IF($B55="","",IF(AND($D56&lt;=U$3,$E56&gt;=U$3),"ac",""))</f>
        <v/>
      </c>
      <c r="V56" s="2" t="str">
        <f t="shared" ref="V56" si="1533">IF($B55="","",IF(AND($D56&lt;=V$3,$E56&gt;=V$3),"ac",""))</f>
        <v/>
      </c>
      <c r="W56" s="2" t="str">
        <f t="shared" ref="W56" si="1534">IF($B55="","",IF(AND($D56&lt;=W$3,$E56&gt;=W$3),"ac",""))</f>
        <v/>
      </c>
      <c r="X56" s="2" t="str">
        <f t="shared" ref="X56" si="1535">IF($B55="","",IF(AND($D56&lt;=X$3,$E56&gt;=X$3),"ac",""))</f>
        <v/>
      </c>
      <c r="Y56" s="2" t="str">
        <f t="shared" ref="Y56" si="1536">IF($B55="","",IF(AND($D56&lt;=Y$3,$E56&gt;=Y$3),"ac",""))</f>
        <v/>
      </c>
      <c r="Z56" s="2" t="str">
        <f t="shared" ref="Z56" si="1537">IF($B55="","",IF(AND($D56&lt;=Z$3,$E56&gt;=Z$3),"ac",""))</f>
        <v/>
      </c>
      <c r="AA56" s="2" t="str">
        <f t="shared" ref="AA56" si="1538">IF($B55="","",IF(AND($D56&lt;=AA$3,$E56&gt;=AA$3),"ac",""))</f>
        <v/>
      </c>
      <c r="AB56" s="2" t="str">
        <f t="shared" ref="AB56" si="1539">IF($B55="","",IF(AND($D56&lt;=AB$3,$E56&gt;=AB$3),"ac",""))</f>
        <v/>
      </c>
      <c r="AC56" s="2" t="str">
        <f t="shared" ref="AC56" si="1540">IF($B55="","",IF(AND($D56&lt;=AC$3,$E56&gt;=AC$3),"ac",""))</f>
        <v/>
      </c>
      <c r="AD56" s="2" t="str">
        <f t="shared" ref="AD56" si="1541">IF($B55="","",IF(AND($D56&lt;=AD$3,$E56&gt;=AD$3),"ac",""))</f>
        <v/>
      </c>
      <c r="AE56" s="2" t="str">
        <f t="shared" ref="AE56" si="1542">IF($B55="","",IF(AND($D56&lt;=AE$3,$E56&gt;=AE$3),"ac",""))</f>
        <v/>
      </c>
      <c r="AF56" s="2" t="str">
        <f t="shared" ref="AF56" si="1543">IF($B55="","",IF(AND($D56&lt;=AF$3,$E56&gt;=AF$3),"ac",""))</f>
        <v/>
      </c>
      <c r="AG56" s="2" t="str">
        <f t="shared" ref="AG56" si="1544">IF($B55="","",IF(AND($D56&lt;=AG$3,$E56&gt;=AG$3),"ac",""))</f>
        <v/>
      </c>
      <c r="AH56" s="2" t="str">
        <f t="shared" ref="AH56" si="1545">IF($B55="","",IF(AND($D56&lt;=AH$3,$E56&gt;=AH$3),"ac",""))</f>
        <v/>
      </c>
      <c r="AI56" s="2" t="str">
        <f t="shared" ref="AI56" si="1546">IF($B55="","",IF(AND($D56&lt;=AI$3,$E56&gt;=AI$3),"ac",""))</f>
        <v/>
      </c>
      <c r="AJ56" s="2" t="str">
        <f t="shared" ref="AJ56" si="1547">IF($B55="","",IF(AND($D56&lt;=AJ$3,$E56&gt;=AJ$3),"ac",""))</f>
        <v/>
      </c>
      <c r="AK56" s="2" t="str">
        <f t="shared" ref="AK56" si="1548">IF($B55="","",IF(AND($D56&lt;=AK$3,$E56&gt;=AK$3),"ac",""))</f>
        <v/>
      </c>
      <c r="AL56" s="2" t="str">
        <f t="shared" ref="AL56" si="1549">IF($B55="","",IF(AND($D56&lt;=AL$3,$E56&gt;=AL$3),"ac",""))</f>
        <v/>
      </c>
      <c r="AM56" s="2" t="str">
        <f t="shared" ref="AM56" si="1550">IF($B55="","",IF(AND($D56&lt;=AM$3,$E56&gt;=AM$3),"ac",""))</f>
        <v/>
      </c>
      <c r="AN56" s="2" t="str">
        <f t="shared" ref="AN56" si="1551">IF($B55="","",IF(AND($D56&lt;=AN$3,$E56&gt;=AN$3),"ac",""))</f>
        <v/>
      </c>
      <c r="AO56" s="2" t="str">
        <f t="shared" ref="AO56" si="1552">IF($B55="","",IF(AND($D56&lt;=AO$3,$E56&gt;=AO$3),"ac",""))</f>
        <v/>
      </c>
      <c r="AP56" s="2" t="str">
        <f t="shared" ref="AP56" si="1553">IF($B55="","",IF(AND($D56&lt;=AP$3,$E56&gt;=AP$3),"ac",""))</f>
        <v/>
      </c>
      <c r="AQ56" s="2" t="str">
        <f t="shared" ref="AQ56" si="1554">IF($B55="","",IF(AND($D56&lt;=AQ$3,$E56&gt;=AQ$3),"ac",""))</f>
        <v/>
      </c>
      <c r="AR56" s="2" t="str">
        <f t="shared" ref="AR56" si="1555">IF($B55="","",IF(AND($D56&lt;=AR$3,$E56&gt;=AR$3),"ac",""))</f>
        <v/>
      </c>
      <c r="AS56" s="2" t="str">
        <f t="shared" ref="AS56" si="1556">IF($B55="","",IF(AND($D56&lt;=AS$3,$E56&gt;=AS$3),"ac",""))</f>
        <v/>
      </c>
      <c r="AT56" s="2" t="str">
        <f t="shared" ref="AT56" si="1557">IF($B55="","",IF(AND($D56&lt;=AT$3,$E56&gt;=AT$3),"ac",""))</f>
        <v/>
      </c>
      <c r="AU56" s="2" t="str">
        <f t="shared" ref="AU56" si="1558">IF($B55="","",IF(AND($D56&lt;=AU$3,$E56&gt;=AU$3),"ac",""))</f>
        <v/>
      </c>
      <c r="AV56" s="2" t="str">
        <f t="shared" ref="AV56" si="1559">IF($B55="","",IF(AND($D56&lt;=AV$3,$E56&gt;=AV$3),"ac",""))</f>
        <v/>
      </c>
      <c r="AW56" s="2" t="str">
        <f t="shared" ref="AW56" si="1560">IF($B55="","",IF(AND($D56&lt;=AW$3,$E56&gt;=AW$3),"ac",""))</f>
        <v/>
      </c>
      <c r="AX56" s="2" t="str">
        <f t="shared" ref="AX56" si="1561">IF($B55="","",IF(AND($D56&lt;=AX$3,$E56&gt;=AX$3),"ac",""))</f>
        <v/>
      </c>
      <c r="AY56" s="2" t="str">
        <f t="shared" ref="AY56" si="1562">IF($B55="","",IF(AND($D56&lt;=AY$3,$E56&gt;=AY$3),"ac",""))</f>
        <v/>
      </c>
      <c r="AZ56" s="2" t="str">
        <f t="shared" ref="AZ56" si="1563">IF($B55="","",IF(AND($D56&lt;=AZ$3,$E56&gt;=AZ$3),"ac",""))</f>
        <v/>
      </c>
      <c r="BA56" s="2" t="str">
        <f t="shared" ref="BA56" si="1564">IF($B55="","",IF(AND($D56&lt;=BA$3,$E56&gt;=BA$3),"ac",""))</f>
        <v/>
      </c>
      <c r="BB56" s="2" t="str">
        <f t="shared" ref="BB56" si="1565">IF($B55="","",IF(AND($D56&lt;=BB$3,$E56&gt;=BB$3),"ac",""))</f>
        <v/>
      </c>
      <c r="BC56" s="2" t="str">
        <f t="shared" ref="BC56" si="1566">IF($B55="","",IF(AND($D56&lt;=BC$3,$E56&gt;=BC$3),"ac",""))</f>
        <v/>
      </c>
      <c r="BD56" s="2" t="str">
        <f t="shared" ref="BD56" si="1567">IF($B55="","",IF(AND($D56&lt;=BD$3,$E56&gt;=BD$3),"ac",""))</f>
        <v/>
      </c>
      <c r="BE56" s="2" t="str">
        <f t="shared" ref="BE56" si="1568">IF($B55="","",IF(AND($D56&lt;=BE$3,$E56&gt;=BE$3),"ac",""))</f>
        <v/>
      </c>
      <c r="BF56" s="2" t="str">
        <f t="shared" ref="BF56" si="1569">IF($B55="","",IF(AND($D56&lt;=BF$3,$E56&gt;=BF$3),"ac",""))</f>
        <v/>
      </c>
      <c r="BG56" s="2" t="str">
        <f t="shared" ref="BG56" si="1570">IF($B55="","",IF(AND($D56&lt;=BG$3,$E56&gt;=BG$3),"ac",""))</f>
        <v>ac</v>
      </c>
      <c r="BH56" s="2" t="str">
        <f t="shared" ref="BH56" si="1571">IF($B55="","",IF(AND($D56&lt;=BH$3,$E56&gt;=BH$3),"ac",""))</f>
        <v>ac</v>
      </c>
      <c r="BI56" s="2" t="str">
        <f t="shared" ref="BI56" si="1572">IF($B55="","",IF(AND($D56&lt;=BI$3,$E56&gt;=BI$3),"ac",""))</f>
        <v/>
      </c>
      <c r="BJ56" s="2" t="str">
        <f t="shared" ref="BJ56" si="1573">IF($B55="","",IF(AND($D56&lt;=BJ$3,$E56&gt;=BJ$3),"ac",""))</f>
        <v/>
      </c>
      <c r="BK56" s="2" t="str">
        <f t="shared" ref="BK56" si="1574">IF($B55="","",IF(AND($D56&lt;=BK$3,$E56&gt;=BK$3),"ac",""))</f>
        <v/>
      </c>
      <c r="BL56" s="2" t="str">
        <f t="shared" ref="BL56" si="1575">IF($B55="","",IF(AND($D56&lt;=BL$3,$E56&gt;=BL$3),"ac",""))</f>
        <v/>
      </c>
      <c r="BM56" s="2" t="str">
        <f t="shared" ref="BM56" si="1576">IF($B55="","",IF(AND($D56&lt;=BM$3,$E56&gt;=BM$3),"ac",""))</f>
        <v/>
      </c>
      <c r="BN56" s="2" t="str">
        <f t="shared" ref="BN56" si="1577">IF($B55="","",IF(AND($D56&lt;=BN$3,$E56&gt;=BN$3),"ac",""))</f>
        <v/>
      </c>
      <c r="BO56" s="2" t="str">
        <f t="shared" ref="BO56" si="1578">IF($B55="","",IF(AND($D56&lt;=BO$3,$E56&gt;=BO$3),"ac",""))</f>
        <v/>
      </c>
      <c r="BP56" s="2" t="str">
        <f t="shared" ref="BP56" si="1579">IF($B55="","",IF(AND($D56&lt;=BP$3,$E56&gt;=BP$3),"ac",""))</f>
        <v/>
      </c>
      <c r="BQ56" s="2" t="str">
        <f t="shared" ref="BQ56" si="1580">IF($B55="","",IF(AND($D56&lt;=BQ$3,$E56&gt;=BQ$3),"ac",""))</f>
        <v/>
      </c>
      <c r="BR56" s="2" t="str">
        <f t="shared" ref="BR56" si="1581">IF($B55="","",IF(AND($D56&lt;=BR$3,$E56&gt;=BR$3),"ac",""))</f>
        <v/>
      </c>
      <c r="BS56" s="2" t="str">
        <f t="shared" ref="BS56" si="1582">IF($B55="","",IF(AND($D56&lt;=BS$3,$E56&gt;=BS$3),"ac",""))</f>
        <v/>
      </c>
      <c r="BT56" s="2" t="str">
        <f t="shared" ref="BT56" si="1583">IF($B55="","",IF(AND($D56&lt;=BT$3,$E56&gt;=BT$3),"ac",""))</f>
        <v/>
      </c>
      <c r="BU56" s="2" t="str">
        <f t="shared" ref="BU56" si="1584">IF($B55="","",IF(AND($D56&lt;=BU$3,$E56&gt;=BU$3),"ac",""))</f>
        <v/>
      </c>
      <c r="BV56" s="2" t="str">
        <f t="shared" ref="BV56" si="1585">IF($B55="","",IF(AND($D56&lt;=BV$3,$E56&gt;=BV$3),"ac",""))</f>
        <v/>
      </c>
      <c r="BW56" s="2" t="str">
        <f t="shared" ref="BW56" si="1586">IF($B55="","",IF(AND($D56&lt;=BW$3,$E56&gt;=BW$3),"ac",""))</f>
        <v/>
      </c>
      <c r="BX56" s="2" t="str">
        <f t="shared" ref="BX56" si="1587">IF($B55="","",IF(AND($D56&lt;=BX$3,$E56&gt;=BX$3),"ac",""))</f>
        <v/>
      </c>
      <c r="BY56" s="2" t="str">
        <f t="shared" ref="BY56" si="1588">IF($B55="","",IF(AND($D56&lt;=BY$3,$E56&gt;=BY$3),"ac",""))</f>
        <v/>
      </c>
    </row>
    <row r="57" spans="1:77" x14ac:dyDescent="0.3">
      <c r="A57" s="15">
        <v>5.2</v>
      </c>
      <c r="B57" s="15" t="s">
        <v>27</v>
      </c>
      <c r="C57" s="15">
        <f t="shared" si="98"/>
        <v>1</v>
      </c>
      <c r="D57" s="4">
        <v>46192</v>
      </c>
      <c r="E57" s="4">
        <v>46192</v>
      </c>
      <c r="F57" s="13" t="s">
        <v>1</v>
      </c>
      <c r="G57" s="13">
        <v>4.3</v>
      </c>
      <c r="H57" s="2" t="str">
        <f>IF($B57="","",IF(AND($D57&lt;=H$3,$E57&gt;=H$3),"a",""))</f>
        <v/>
      </c>
      <c r="I57" s="2" t="str">
        <f t="shared" ref="I57:X58" si="1589">IF($B57="","",IF(AND($D57&lt;=I$3,$E57&gt;=I$3),"a",""))</f>
        <v/>
      </c>
      <c r="J57" s="2" t="str">
        <f t="shared" si="1589"/>
        <v/>
      </c>
      <c r="K57" s="2" t="str">
        <f t="shared" si="1589"/>
        <v/>
      </c>
      <c r="L57" s="2" t="str">
        <f t="shared" si="1589"/>
        <v/>
      </c>
      <c r="M57" s="2" t="str">
        <f t="shared" si="1589"/>
        <v/>
      </c>
      <c r="N57" s="2" t="str">
        <f t="shared" si="1589"/>
        <v/>
      </c>
      <c r="O57" s="2" t="str">
        <f t="shared" si="1589"/>
        <v/>
      </c>
      <c r="P57" s="2" t="str">
        <f t="shared" si="1589"/>
        <v/>
      </c>
      <c r="Q57" s="2" t="str">
        <f t="shared" si="1589"/>
        <v/>
      </c>
      <c r="R57" s="2" t="str">
        <f t="shared" si="1589"/>
        <v/>
      </c>
      <c r="S57" s="2" t="str">
        <f t="shared" si="1589"/>
        <v/>
      </c>
      <c r="T57" s="2" t="str">
        <f t="shared" si="1589"/>
        <v/>
      </c>
      <c r="U57" s="2" t="str">
        <f t="shared" si="1589"/>
        <v/>
      </c>
      <c r="V57" s="2" t="str">
        <f t="shared" si="1589"/>
        <v/>
      </c>
      <c r="W57" s="2" t="str">
        <f t="shared" si="1589"/>
        <v/>
      </c>
      <c r="X57" s="2" t="str">
        <f t="shared" si="1589"/>
        <v/>
      </c>
      <c r="Y57" s="2" t="str">
        <f t="shared" ref="Y57:BY57" si="1590">IF($B57="","",IF(AND($D57&lt;=Y$3,$E57&gt;=Y$3),"a",""))</f>
        <v/>
      </c>
      <c r="Z57" s="2" t="str">
        <f t="shared" si="1590"/>
        <v/>
      </c>
      <c r="AA57" s="2" t="str">
        <f t="shared" si="1590"/>
        <v/>
      </c>
      <c r="AB57" s="2" t="str">
        <f t="shared" si="1590"/>
        <v/>
      </c>
      <c r="AC57" s="2" t="str">
        <f t="shared" si="1590"/>
        <v/>
      </c>
      <c r="AD57" s="2" t="str">
        <f t="shared" si="1590"/>
        <v/>
      </c>
      <c r="AE57" s="2" t="str">
        <f t="shared" si="1590"/>
        <v/>
      </c>
      <c r="AF57" s="2" t="str">
        <f t="shared" si="1590"/>
        <v/>
      </c>
      <c r="AG57" s="2" t="str">
        <f t="shared" si="1590"/>
        <v/>
      </c>
      <c r="AH57" s="2" t="str">
        <f t="shared" si="1590"/>
        <v/>
      </c>
      <c r="AI57" s="2" t="str">
        <f t="shared" si="1590"/>
        <v/>
      </c>
      <c r="AJ57" s="2" t="str">
        <f t="shared" si="1590"/>
        <v/>
      </c>
      <c r="AK57" s="2" t="str">
        <f t="shared" si="1590"/>
        <v/>
      </c>
      <c r="AL57" s="2" t="str">
        <f t="shared" si="1590"/>
        <v/>
      </c>
      <c r="AM57" s="2" t="str">
        <f t="shared" si="1590"/>
        <v/>
      </c>
      <c r="AN57" s="2" t="str">
        <f t="shared" si="1590"/>
        <v/>
      </c>
      <c r="AO57" s="2" t="str">
        <f t="shared" si="1590"/>
        <v/>
      </c>
      <c r="AP57" s="2" t="str">
        <f t="shared" si="1590"/>
        <v/>
      </c>
      <c r="AQ57" s="2" t="str">
        <f t="shared" si="1590"/>
        <v/>
      </c>
      <c r="AR57" s="2" t="str">
        <f t="shared" si="1590"/>
        <v/>
      </c>
      <c r="AS57" s="2" t="str">
        <f t="shared" si="1590"/>
        <v/>
      </c>
      <c r="AT57" s="2" t="str">
        <f t="shared" si="1590"/>
        <v/>
      </c>
      <c r="AU57" s="2" t="str">
        <f t="shared" si="1590"/>
        <v/>
      </c>
      <c r="AV57" s="2" t="str">
        <f t="shared" si="1590"/>
        <v/>
      </c>
      <c r="AW57" s="2" t="str">
        <f t="shared" si="1590"/>
        <v/>
      </c>
      <c r="AX57" s="2" t="str">
        <f t="shared" si="1590"/>
        <v/>
      </c>
      <c r="AY57" s="2" t="str">
        <f t="shared" si="1590"/>
        <v/>
      </c>
      <c r="AZ57" s="2" t="str">
        <f t="shared" si="1590"/>
        <v/>
      </c>
      <c r="BA57" s="2" t="str">
        <f t="shared" si="1590"/>
        <v/>
      </c>
      <c r="BB57" s="2" t="str">
        <f t="shared" si="1590"/>
        <v/>
      </c>
      <c r="BC57" s="2" t="str">
        <f t="shared" si="1590"/>
        <v/>
      </c>
      <c r="BD57" s="2" t="str">
        <f t="shared" si="1590"/>
        <v/>
      </c>
      <c r="BE57" s="2" t="str">
        <f t="shared" si="1590"/>
        <v/>
      </c>
      <c r="BF57" s="2" t="str">
        <f t="shared" si="1590"/>
        <v/>
      </c>
      <c r="BG57" s="2" t="str">
        <f t="shared" si="1590"/>
        <v/>
      </c>
      <c r="BH57" s="2" t="str">
        <f t="shared" si="1590"/>
        <v/>
      </c>
      <c r="BI57" s="2" t="str">
        <f t="shared" si="1590"/>
        <v>a</v>
      </c>
      <c r="BJ57" s="2" t="str">
        <f t="shared" si="1590"/>
        <v/>
      </c>
      <c r="BK57" s="2" t="str">
        <f t="shared" si="1590"/>
        <v/>
      </c>
      <c r="BL57" s="2" t="str">
        <f t="shared" si="1590"/>
        <v/>
      </c>
      <c r="BM57" s="2" t="str">
        <f t="shared" si="1590"/>
        <v/>
      </c>
      <c r="BN57" s="2" t="str">
        <f t="shared" si="1590"/>
        <v/>
      </c>
      <c r="BO57" s="2" t="str">
        <f t="shared" si="1590"/>
        <v/>
      </c>
      <c r="BP57" s="2" t="str">
        <f t="shared" si="1590"/>
        <v/>
      </c>
      <c r="BQ57" s="2" t="str">
        <f t="shared" si="1590"/>
        <v/>
      </c>
      <c r="BR57" s="2" t="str">
        <f t="shared" si="1590"/>
        <v/>
      </c>
      <c r="BS57" s="2" t="str">
        <f t="shared" si="1590"/>
        <v/>
      </c>
      <c r="BT57" s="2" t="str">
        <f t="shared" si="1590"/>
        <v/>
      </c>
      <c r="BU57" s="2" t="str">
        <f t="shared" si="1590"/>
        <v/>
      </c>
      <c r="BV57" s="2" t="str">
        <f t="shared" si="1590"/>
        <v/>
      </c>
      <c r="BW57" s="2" t="str">
        <f t="shared" si="1590"/>
        <v/>
      </c>
      <c r="BX57" s="2" t="str">
        <f t="shared" si="1590"/>
        <v/>
      </c>
      <c r="BY57" s="2" t="str">
        <f t="shared" si="1590"/>
        <v/>
      </c>
    </row>
    <row r="58" spans="1:77" x14ac:dyDescent="0.3">
      <c r="A58" s="15"/>
      <c r="B58" s="15"/>
      <c r="C58" s="15"/>
      <c r="D58" s="4">
        <v>46192</v>
      </c>
      <c r="E58" s="4">
        <v>46192</v>
      </c>
      <c r="F58" s="13"/>
      <c r="G58" s="13"/>
      <c r="H58" s="2" t="str">
        <f>IF($B57="","",IF(AND($D58&lt;=H$3,$E58&gt;=H$3),"ac",""))</f>
        <v/>
      </c>
      <c r="I58" s="2" t="str">
        <f t="shared" ref="I58" si="1591">IF($B57="","",IF(AND($D58&lt;=I$3,$E58&gt;=I$3),"ac",""))</f>
        <v/>
      </c>
      <c r="J58" s="2" t="str">
        <f t="shared" ref="J58" si="1592">IF($B57="","",IF(AND($D58&lt;=J$3,$E58&gt;=J$3),"ac",""))</f>
        <v/>
      </c>
      <c r="K58" s="2" t="str">
        <f t="shared" ref="K58" si="1593">IF($B57="","",IF(AND($D58&lt;=K$3,$E58&gt;=K$3),"ac",""))</f>
        <v/>
      </c>
      <c r="L58" s="2" t="str">
        <f t="shared" ref="L58" si="1594">IF($B57="","",IF(AND($D58&lt;=L$3,$E58&gt;=L$3),"ac",""))</f>
        <v/>
      </c>
      <c r="M58" s="2" t="str">
        <f t="shared" ref="M58" si="1595">IF($B57="","",IF(AND($D58&lt;=M$3,$E58&gt;=M$3),"ac",""))</f>
        <v/>
      </c>
      <c r="N58" s="2" t="str">
        <f t="shared" ref="N58" si="1596">IF($B57="","",IF(AND($D58&lt;=N$3,$E58&gt;=N$3),"ac",""))</f>
        <v/>
      </c>
      <c r="O58" s="2" t="str">
        <f t="shared" ref="O58" si="1597">IF($B57="","",IF(AND($D58&lt;=O$3,$E58&gt;=O$3),"ac",""))</f>
        <v/>
      </c>
      <c r="P58" s="2" t="str">
        <f t="shared" ref="P58" si="1598">IF($B57="","",IF(AND($D58&lt;=P$3,$E58&gt;=P$3),"ac",""))</f>
        <v/>
      </c>
      <c r="Q58" s="2" t="str">
        <f t="shared" ref="Q58" si="1599">IF($B57="","",IF(AND($D58&lt;=Q$3,$E58&gt;=Q$3),"ac",""))</f>
        <v/>
      </c>
      <c r="R58" s="2" t="str">
        <f t="shared" ref="R58" si="1600">IF($B57="","",IF(AND($D58&lt;=R$3,$E58&gt;=R$3),"ac",""))</f>
        <v/>
      </c>
      <c r="S58" s="2" t="str">
        <f t="shared" ref="S58" si="1601">IF($B57="","",IF(AND($D58&lt;=S$3,$E58&gt;=S$3),"ac",""))</f>
        <v/>
      </c>
      <c r="T58" s="2" t="str">
        <f t="shared" ref="T58" si="1602">IF($B57="","",IF(AND($D58&lt;=T$3,$E58&gt;=T$3),"ac",""))</f>
        <v/>
      </c>
      <c r="U58" s="2" t="str">
        <f t="shared" ref="U58" si="1603">IF($B57="","",IF(AND($D58&lt;=U$3,$E58&gt;=U$3),"ac",""))</f>
        <v/>
      </c>
      <c r="V58" s="2" t="str">
        <f t="shared" ref="V58" si="1604">IF($B57="","",IF(AND($D58&lt;=V$3,$E58&gt;=V$3),"ac",""))</f>
        <v/>
      </c>
      <c r="W58" s="2" t="str">
        <f t="shared" ref="W58" si="1605">IF($B57="","",IF(AND($D58&lt;=W$3,$E58&gt;=W$3),"ac",""))</f>
        <v/>
      </c>
      <c r="X58" s="2" t="str">
        <f t="shared" ref="X58" si="1606">IF($B57="","",IF(AND($D58&lt;=X$3,$E58&gt;=X$3),"ac",""))</f>
        <v/>
      </c>
      <c r="Y58" s="2" t="str">
        <f t="shared" ref="Y58" si="1607">IF($B57="","",IF(AND($D58&lt;=Y$3,$E58&gt;=Y$3),"ac",""))</f>
        <v/>
      </c>
      <c r="Z58" s="2" t="str">
        <f t="shared" ref="Z58" si="1608">IF($B57="","",IF(AND($D58&lt;=Z$3,$E58&gt;=Z$3),"ac",""))</f>
        <v/>
      </c>
      <c r="AA58" s="2" t="str">
        <f t="shared" ref="AA58" si="1609">IF($B57="","",IF(AND($D58&lt;=AA$3,$E58&gt;=AA$3),"ac",""))</f>
        <v/>
      </c>
      <c r="AB58" s="2" t="str">
        <f t="shared" ref="AB58" si="1610">IF($B57="","",IF(AND($D58&lt;=AB$3,$E58&gt;=AB$3),"ac",""))</f>
        <v/>
      </c>
      <c r="AC58" s="2" t="str">
        <f t="shared" ref="AC58" si="1611">IF($B57="","",IF(AND($D58&lt;=AC$3,$E58&gt;=AC$3),"ac",""))</f>
        <v/>
      </c>
      <c r="AD58" s="2" t="str">
        <f t="shared" ref="AD58" si="1612">IF($B57="","",IF(AND($D58&lt;=AD$3,$E58&gt;=AD$3),"ac",""))</f>
        <v/>
      </c>
      <c r="AE58" s="2" t="str">
        <f t="shared" ref="AE58" si="1613">IF($B57="","",IF(AND($D58&lt;=AE$3,$E58&gt;=AE$3),"ac",""))</f>
        <v/>
      </c>
      <c r="AF58" s="2" t="str">
        <f t="shared" ref="AF58" si="1614">IF($B57="","",IF(AND($D58&lt;=AF$3,$E58&gt;=AF$3),"ac",""))</f>
        <v/>
      </c>
      <c r="AG58" s="2" t="str">
        <f t="shared" ref="AG58" si="1615">IF($B57="","",IF(AND($D58&lt;=AG$3,$E58&gt;=AG$3),"ac",""))</f>
        <v/>
      </c>
      <c r="AH58" s="2" t="str">
        <f t="shared" ref="AH58" si="1616">IF($B57="","",IF(AND($D58&lt;=AH$3,$E58&gt;=AH$3),"ac",""))</f>
        <v/>
      </c>
      <c r="AI58" s="2" t="str">
        <f t="shared" ref="AI58" si="1617">IF($B57="","",IF(AND($D58&lt;=AI$3,$E58&gt;=AI$3),"ac",""))</f>
        <v/>
      </c>
      <c r="AJ58" s="2" t="str">
        <f t="shared" ref="AJ58" si="1618">IF($B57="","",IF(AND($D58&lt;=AJ$3,$E58&gt;=AJ$3),"ac",""))</f>
        <v/>
      </c>
      <c r="AK58" s="2" t="str">
        <f t="shared" ref="AK58" si="1619">IF($B57="","",IF(AND($D58&lt;=AK$3,$E58&gt;=AK$3),"ac",""))</f>
        <v/>
      </c>
      <c r="AL58" s="2" t="str">
        <f t="shared" ref="AL58" si="1620">IF($B57="","",IF(AND($D58&lt;=AL$3,$E58&gt;=AL$3),"ac",""))</f>
        <v/>
      </c>
      <c r="AM58" s="2" t="str">
        <f t="shared" ref="AM58" si="1621">IF($B57="","",IF(AND($D58&lt;=AM$3,$E58&gt;=AM$3),"ac",""))</f>
        <v/>
      </c>
      <c r="AN58" s="2" t="str">
        <f t="shared" ref="AN58" si="1622">IF($B57="","",IF(AND($D58&lt;=AN$3,$E58&gt;=AN$3),"ac",""))</f>
        <v/>
      </c>
      <c r="AO58" s="2" t="str">
        <f t="shared" ref="AO58" si="1623">IF($B57="","",IF(AND($D58&lt;=AO$3,$E58&gt;=AO$3),"ac",""))</f>
        <v/>
      </c>
      <c r="AP58" s="2" t="str">
        <f t="shared" ref="AP58" si="1624">IF($B57="","",IF(AND($D58&lt;=AP$3,$E58&gt;=AP$3),"ac",""))</f>
        <v/>
      </c>
      <c r="AQ58" s="2" t="str">
        <f t="shared" ref="AQ58" si="1625">IF($B57="","",IF(AND($D58&lt;=AQ$3,$E58&gt;=AQ$3),"ac",""))</f>
        <v/>
      </c>
      <c r="AR58" s="2" t="str">
        <f t="shared" ref="AR58" si="1626">IF($B57="","",IF(AND($D58&lt;=AR$3,$E58&gt;=AR$3),"ac",""))</f>
        <v/>
      </c>
      <c r="AS58" s="2" t="str">
        <f t="shared" ref="AS58" si="1627">IF($B57="","",IF(AND($D58&lt;=AS$3,$E58&gt;=AS$3),"ac",""))</f>
        <v/>
      </c>
      <c r="AT58" s="2" t="str">
        <f t="shared" ref="AT58" si="1628">IF($B57="","",IF(AND($D58&lt;=AT$3,$E58&gt;=AT$3),"ac",""))</f>
        <v/>
      </c>
      <c r="AU58" s="2" t="str">
        <f t="shared" ref="AU58" si="1629">IF($B57="","",IF(AND($D58&lt;=AU$3,$E58&gt;=AU$3),"ac",""))</f>
        <v/>
      </c>
      <c r="AV58" s="2" t="str">
        <f t="shared" ref="AV58" si="1630">IF($B57="","",IF(AND($D58&lt;=AV$3,$E58&gt;=AV$3),"ac",""))</f>
        <v/>
      </c>
      <c r="AW58" s="2" t="str">
        <f t="shared" ref="AW58" si="1631">IF($B57="","",IF(AND($D58&lt;=AW$3,$E58&gt;=AW$3),"ac",""))</f>
        <v/>
      </c>
      <c r="AX58" s="2" t="str">
        <f t="shared" ref="AX58" si="1632">IF($B57="","",IF(AND($D58&lt;=AX$3,$E58&gt;=AX$3),"ac",""))</f>
        <v/>
      </c>
      <c r="AY58" s="2" t="str">
        <f t="shared" ref="AY58" si="1633">IF($B57="","",IF(AND($D58&lt;=AY$3,$E58&gt;=AY$3),"ac",""))</f>
        <v/>
      </c>
      <c r="AZ58" s="2" t="str">
        <f t="shared" ref="AZ58" si="1634">IF($B57="","",IF(AND($D58&lt;=AZ$3,$E58&gt;=AZ$3),"ac",""))</f>
        <v/>
      </c>
      <c r="BA58" s="2" t="str">
        <f t="shared" ref="BA58" si="1635">IF($B57="","",IF(AND($D58&lt;=BA$3,$E58&gt;=BA$3),"ac",""))</f>
        <v/>
      </c>
      <c r="BB58" s="2" t="str">
        <f t="shared" ref="BB58" si="1636">IF($B57="","",IF(AND($D58&lt;=BB$3,$E58&gt;=BB$3),"ac",""))</f>
        <v/>
      </c>
      <c r="BC58" s="2" t="str">
        <f t="shared" ref="BC58" si="1637">IF($B57="","",IF(AND($D58&lt;=BC$3,$E58&gt;=BC$3),"ac",""))</f>
        <v/>
      </c>
      <c r="BD58" s="2" t="str">
        <f t="shared" ref="BD58" si="1638">IF($B57="","",IF(AND($D58&lt;=BD$3,$E58&gt;=BD$3),"ac",""))</f>
        <v/>
      </c>
      <c r="BE58" s="2" t="str">
        <f t="shared" ref="BE58" si="1639">IF($B57="","",IF(AND($D58&lt;=BE$3,$E58&gt;=BE$3),"ac",""))</f>
        <v/>
      </c>
      <c r="BF58" s="2" t="str">
        <f t="shared" ref="BF58" si="1640">IF($B57="","",IF(AND($D58&lt;=BF$3,$E58&gt;=BF$3),"ac",""))</f>
        <v/>
      </c>
      <c r="BG58" s="2" t="str">
        <f t="shared" ref="BG58" si="1641">IF($B57="","",IF(AND($D58&lt;=BG$3,$E58&gt;=BG$3),"ac",""))</f>
        <v/>
      </c>
      <c r="BH58" s="2" t="str">
        <f t="shared" ref="BH58" si="1642">IF($B57="","",IF(AND($D58&lt;=BH$3,$E58&gt;=BH$3),"ac",""))</f>
        <v/>
      </c>
      <c r="BI58" s="2" t="str">
        <f t="shared" ref="BI58" si="1643">IF($B57="","",IF(AND($D58&lt;=BI$3,$E58&gt;=BI$3),"ac",""))</f>
        <v>ac</v>
      </c>
      <c r="BJ58" s="2" t="str">
        <f t="shared" ref="BJ58" si="1644">IF($B57="","",IF(AND($D58&lt;=BJ$3,$E58&gt;=BJ$3),"ac",""))</f>
        <v/>
      </c>
      <c r="BK58" s="2" t="str">
        <f t="shared" ref="BK58" si="1645">IF($B57="","",IF(AND($D58&lt;=BK$3,$E58&gt;=BK$3),"ac",""))</f>
        <v/>
      </c>
      <c r="BL58" s="2" t="str">
        <f t="shared" ref="BL58" si="1646">IF($B57="","",IF(AND($D58&lt;=BL$3,$E58&gt;=BL$3),"ac",""))</f>
        <v/>
      </c>
      <c r="BM58" s="2" t="str">
        <f t="shared" ref="BM58" si="1647">IF($B57="","",IF(AND($D58&lt;=BM$3,$E58&gt;=BM$3),"ac",""))</f>
        <v/>
      </c>
      <c r="BN58" s="2" t="str">
        <f t="shared" ref="BN58" si="1648">IF($B57="","",IF(AND($D58&lt;=BN$3,$E58&gt;=BN$3),"ac",""))</f>
        <v/>
      </c>
      <c r="BO58" s="2" t="str">
        <f t="shared" ref="BO58" si="1649">IF($B57="","",IF(AND($D58&lt;=BO$3,$E58&gt;=BO$3),"ac",""))</f>
        <v/>
      </c>
      <c r="BP58" s="2" t="str">
        <f t="shared" ref="BP58" si="1650">IF($B57="","",IF(AND($D58&lt;=BP$3,$E58&gt;=BP$3),"ac",""))</f>
        <v/>
      </c>
      <c r="BQ58" s="2" t="str">
        <f t="shared" ref="BQ58" si="1651">IF($B57="","",IF(AND($D58&lt;=BQ$3,$E58&gt;=BQ$3),"ac",""))</f>
        <v/>
      </c>
      <c r="BR58" s="2" t="str">
        <f t="shared" ref="BR58" si="1652">IF($B57="","",IF(AND($D58&lt;=BR$3,$E58&gt;=BR$3),"ac",""))</f>
        <v/>
      </c>
      <c r="BS58" s="2" t="str">
        <f t="shared" ref="BS58" si="1653">IF($B57="","",IF(AND($D58&lt;=BS$3,$E58&gt;=BS$3),"ac",""))</f>
        <v/>
      </c>
      <c r="BT58" s="2" t="str">
        <f t="shared" ref="BT58" si="1654">IF($B57="","",IF(AND($D58&lt;=BT$3,$E58&gt;=BT$3),"ac",""))</f>
        <v/>
      </c>
      <c r="BU58" s="2" t="str">
        <f t="shared" ref="BU58" si="1655">IF($B57="","",IF(AND($D58&lt;=BU$3,$E58&gt;=BU$3),"ac",""))</f>
        <v/>
      </c>
      <c r="BV58" s="2" t="str">
        <f t="shared" ref="BV58" si="1656">IF($B57="","",IF(AND($D58&lt;=BV$3,$E58&gt;=BV$3),"ac",""))</f>
        <v/>
      </c>
      <c r="BW58" s="2" t="str">
        <f t="shared" ref="BW58" si="1657">IF($B57="","",IF(AND($D58&lt;=BW$3,$E58&gt;=BW$3),"ac",""))</f>
        <v/>
      </c>
      <c r="BX58" s="2" t="str">
        <f t="shared" ref="BX58" si="1658">IF($B57="","",IF(AND($D58&lt;=BX$3,$E58&gt;=BX$3),"ac",""))</f>
        <v/>
      </c>
      <c r="BY58" s="21"/>
    </row>
  </sheetData>
  <mergeCells count="162">
    <mergeCell ref="AN2:AP2"/>
    <mergeCell ref="AQ2:AW2"/>
    <mergeCell ref="BS1:BY1"/>
    <mergeCell ref="AX2:BD2"/>
    <mergeCell ref="BE2:BK2"/>
    <mergeCell ref="BL2:BR2"/>
    <mergeCell ref="BS2:BY2"/>
    <mergeCell ref="AX1:BD1"/>
    <mergeCell ref="BE1:BK1"/>
    <mergeCell ref="BL1:BR1"/>
    <mergeCell ref="C57:C58"/>
    <mergeCell ref="C55:C56"/>
    <mergeCell ref="C53:C54"/>
    <mergeCell ref="C51:C52"/>
    <mergeCell ref="C49:C50"/>
    <mergeCell ref="C47:C48"/>
    <mergeCell ref="C45:C46"/>
    <mergeCell ref="C43:C44"/>
    <mergeCell ref="C41:C42"/>
    <mergeCell ref="C23:C24"/>
    <mergeCell ref="C21:C22"/>
    <mergeCell ref="C19:C20"/>
    <mergeCell ref="C17:C18"/>
    <mergeCell ref="C15:C16"/>
    <mergeCell ref="C13:C14"/>
    <mergeCell ref="C11:C12"/>
    <mergeCell ref="C9:C10"/>
    <mergeCell ref="C7:C8"/>
    <mergeCell ref="S2:Y2"/>
    <mergeCell ref="Z2:AF2"/>
    <mergeCell ref="AG2:AM2"/>
    <mergeCell ref="H1:N1"/>
    <mergeCell ref="O1:U1"/>
    <mergeCell ref="V1:AB1"/>
    <mergeCell ref="AC1:AI1"/>
    <mergeCell ref="AJ1:AP1"/>
    <mergeCell ref="AQ1:AW1"/>
    <mergeCell ref="A3:A4"/>
    <mergeCell ref="B3:B4"/>
    <mergeCell ref="C3:C4"/>
    <mergeCell ref="B1:G2"/>
    <mergeCell ref="F3:F4"/>
    <mergeCell ref="G3:G4"/>
    <mergeCell ref="H2:K2"/>
    <mergeCell ref="L2:R2"/>
    <mergeCell ref="G13:G14"/>
    <mergeCell ref="F7:F8"/>
    <mergeCell ref="F9:F10"/>
    <mergeCell ref="F11:F12"/>
    <mergeCell ref="F13:F14"/>
    <mergeCell ref="F5:F6"/>
    <mergeCell ref="G5:G6"/>
    <mergeCell ref="A5:A6"/>
    <mergeCell ref="A7:A8"/>
    <mergeCell ref="A9:A10"/>
    <mergeCell ref="A11:A12"/>
    <mergeCell ref="G7:G8"/>
    <mergeCell ref="G9:G10"/>
    <mergeCell ref="G11:G12"/>
    <mergeCell ref="C5:C6"/>
    <mergeCell ref="B5:B6"/>
    <mergeCell ref="B7:B8"/>
    <mergeCell ref="B9:B10"/>
    <mergeCell ref="B11:B12"/>
    <mergeCell ref="B13:B14"/>
    <mergeCell ref="B15:B16"/>
    <mergeCell ref="F17:F18"/>
    <mergeCell ref="G15:G16"/>
    <mergeCell ref="G17:G18"/>
    <mergeCell ref="B17:B18"/>
    <mergeCell ref="F15:F16"/>
    <mergeCell ref="G19:G20"/>
    <mergeCell ref="G21:G22"/>
    <mergeCell ref="G23:G24"/>
    <mergeCell ref="F23:F24"/>
    <mergeCell ref="F21:F22"/>
    <mergeCell ref="F19:F20"/>
    <mergeCell ref="G37:G38"/>
    <mergeCell ref="G39:G40"/>
    <mergeCell ref="G41:G42"/>
    <mergeCell ref="F35:F36"/>
    <mergeCell ref="F33:F34"/>
    <mergeCell ref="F31:F32"/>
    <mergeCell ref="F29:F30"/>
    <mergeCell ref="F27:F28"/>
    <mergeCell ref="F25:F26"/>
    <mergeCell ref="G43:G44"/>
    <mergeCell ref="G45:G46"/>
    <mergeCell ref="G47:G48"/>
    <mergeCell ref="G25:G26"/>
    <mergeCell ref="G27:G28"/>
    <mergeCell ref="G29:G30"/>
    <mergeCell ref="G31:G32"/>
    <mergeCell ref="G33:G34"/>
    <mergeCell ref="G35:G36"/>
    <mergeCell ref="G49:G50"/>
    <mergeCell ref="G51:G52"/>
    <mergeCell ref="G53:G54"/>
    <mergeCell ref="G55:G56"/>
    <mergeCell ref="G57:G58"/>
    <mergeCell ref="F57:F58"/>
    <mergeCell ref="F55:F56"/>
    <mergeCell ref="F53:F54"/>
    <mergeCell ref="F51:F52"/>
    <mergeCell ref="F49:F50"/>
    <mergeCell ref="B25:B26"/>
    <mergeCell ref="B27:B28"/>
    <mergeCell ref="B29:B30"/>
    <mergeCell ref="A29:A30"/>
    <mergeCell ref="A31:A32"/>
    <mergeCell ref="A33:A34"/>
    <mergeCell ref="F47:F48"/>
    <mergeCell ref="F45:F46"/>
    <mergeCell ref="F43:F44"/>
    <mergeCell ref="F41:F42"/>
    <mergeCell ref="F39:F40"/>
    <mergeCell ref="F37:F38"/>
    <mergeCell ref="B35:B36"/>
    <mergeCell ref="B37:B38"/>
    <mergeCell ref="B39:B40"/>
    <mergeCell ref="B41:B42"/>
    <mergeCell ref="C29:C30"/>
    <mergeCell ref="C27:C28"/>
    <mergeCell ref="C25:C26"/>
    <mergeCell ref="C39:C40"/>
    <mergeCell ref="C37:C38"/>
    <mergeCell ref="C35:C36"/>
    <mergeCell ref="C33:C34"/>
    <mergeCell ref="C31:C32"/>
    <mergeCell ref="B55:B56"/>
    <mergeCell ref="B57:B58"/>
    <mergeCell ref="A13:A14"/>
    <mergeCell ref="A15:A16"/>
    <mergeCell ref="A17:A18"/>
    <mergeCell ref="A19:A20"/>
    <mergeCell ref="A21:A22"/>
    <mergeCell ref="A23:A24"/>
    <mergeCell ref="A25:A26"/>
    <mergeCell ref="A27:A28"/>
    <mergeCell ref="B43:B44"/>
    <mergeCell ref="B45:B46"/>
    <mergeCell ref="B47:B48"/>
    <mergeCell ref="B49:B50"/>
    <mergeCell ref="B51:B52"/>
    <mergeCell ref="B53:B54"/>
    <mergeCell ref="B31:B32"/>
    <mergeCell ref="B33:B34"/>
    <mergeCell ref="A53:A54"/>
    <mergeCell ref="A55:A56"/>
    <mergeCell ref="A57:A58"/>
    <mergeCell ref="B19:B20"/>
    <mergeCell ref="B21:B22"/>
    <mergeCell ref="B23:B24"/>
    <mergeCell ref="A41:A42"/>
    <mergeCell ref="A43:A44"/>
    <mergeCell ref="A45:A46"/>
    <mergeCell ref="A47:A48"/>
    <mergeCell ref="A49:A50"/>
    <mergeCell ref="A51:A52"/>
    <mergeCell ref="A35:A36"/>
    <mergeCell ref="A37:A38"/>
    <mergeCell ref="A39:A40"/>
  </mergeCells>
  <conditionalFormatting sqref="H5:BY5">
    <cfRule type="expression" dxfId="181" priority="180">
      <formula>H5="a"</formula>
    </cfRule>
  </conditionalFormatting>
  <conditionalFormatting sqref="H6:BY6">
    <cfRule type="expression" dxfId="180" priority="179">
      <formula>H6="ac"</formula>
    </cfRule>
  </conditionalFormatting>
  <conditionalFormatting sqref="R7:AW7">
    <cfRule type="expression" dxfId="179" priority="178">
      <formula>R7="a"</formula>
    </cfRule>
  </conditionalFormatting>
  <conditionalFormatting sqref="R8:AW8">
    <cfRule type="expression" dxfId="178" priority="177">
      <formula>R8="ac"</formula>
    </cfRule>
  </conditionalFormatting>
  <conditionalFormatting sqref="R9:AW9">
    <cfRule type="expression" dxfId="177" priority="176">
      <formula>R9="a"</formula>
    </cfRule>
  </conditionalFormatting>
  <conditionalFormatting sqref="R10:AW10">
    <cfRule type="expression" dxfId="176" priority="175">
      <formula>R10="ac"</formula>
    </cfRule>
  </conditionalFormatting>
  <conditionalFormatting sqref="R11:AW11">
    <cfRule type="expression" dxfId="175" priority="174">
      <formula>R11="a"</formula>
    </cfRule>
  </conditionalFormatting>
  <conditionalFormatting sqref="R12:AW12">
    <cfRule type="expression" dxfId="174" priority="173">
      <formula>R12="ac"</formula>
    </cfRule>
  </conditionalFormatting>
  <conditionalFormatting sqref="AG18:AW18">
    <cfRule type="expression" dxfId="168" priority="167">
      <formula>AG18="ac"</formula>
    </cfRule>
  </conditionalFormatting>
  <conditionalFormatting sqref="AP19:AW19">
    <cfRule type="expression" dxfId="167" priority="166">
      <formula>AP19="a"</formula>
    </cfRule>
  </conditionalFormatting>
  <conditionalFormatting sqref="AJ28:AW28">
    <cfRule type="expression" dxfId="158" priority="157">
      <formula>AJ28="ac"</formula>
    </cfRule>
  </conditionalFormatting>
  <conditionalFormatting sqref="AP30:AW30">
    <cfRule type="expression" dxfId="156" priority="155">
      <formula>AP30="ac"</formula>
    </cfRule>
  </conditionalFormatting>
  <conditionalFormatting sqref="AQ31:AW31">
    <cfRule type="expression" dxfId="155" priority="154">
      <formula>AQ31="a"</formula>
    </cfRule>
  </conditionalFormatting>
  <conditionalFormatting sqref="AT32:AW32">
    <cfRule type="expression" dxfId="154" priority="153">
      <formula>AT32="ac"</formula>
    </cfRule>
  </conditionalFormatting>
  <conditionalFormatting sqref="AS33:AW33">
    <cfRule type="expression" dxfId="153" priority="152">
      <formula>AS33="a"</formula>
    </cfRule>
  </conditionalFormatting>
  <conditionalFormatting sqref="AR34:AW34">
    <cfRule type="expression" dxfId="152" priority="151">
      <formula>AR34="ac"</formula>
    </cfRule>
  </conditionalFormatting>
  <conditionalFormatting sqref="H5:BY5">
    <cfRule type="expression" dxfId="125" priority="126">
      <formula>H5="a"</formula>
    </cfRule>
  </conditionalFormatting>
  <conditionalFormatting sqref="H6:BY6">
    <cfRule type="expression" dxfId="124" priority="125">
      <formula>H6="ac"</formula>
    </cfRule>
  </conditionalFormatting>
  <conditionalFormatting sqref="H7:Q7">
    <cfRule type="expression" dxfId="123" priority="124">
      <formula>H7="a"</formula>
    </cfRule>
  </conditionalFormatting>
  <conditionalFormatting sqref="H8:Q8">
    <cfRule type="expression" dxfId="122" priority="123">
      <formula>H8="ac"</formula>
    </cfRule>
  </conditionalFormatting>
  <conditionalFormatting sqref="H7:Q7">
    <cfRule type="expression" dxfId="121" priority="122">
      <formula>H7="a"</formula>
    </cfRule>
  </conditionalFormatting>
  <conditionalFormatting sqref="H8:Q8">
    <cfRule type="expression" dxfId="120" priority="121">
      <formula>H8="ac"</formula>
    </cfRule>
  </conditionalFormatting>
  <conditionalFormatting sqref="H9:Q9">
    <cfRule type="expression" dxfId="119" priority="120">
      <formula>H9="a"</formula>
    </cfRule>
  </conditionalFormatting>
  <conditionalFormatting sqref="H10:Q10">
    <cfRule type="expression" dxfId="118" priority="119">
      <formula>H10="ac"</formula>
    </cfRule>
  </conditionalFormatting>
  <conditionalFormatting sqref="H9:Q9">
    <cfRule type="expression" dxfId="117" priority="118">
      <formula>H9="a"</formula>
    </cfRule>
  </conditionalFormatting>
  <conditionalFormatting sqref="H10:Q10">
    <cfRule type="expression" dxfId="116" priority="117">
      <formula>H10="ac"</formula>
    </cfRule>
  </conditionalFormatting>
  <conditionalFormatting sqref="H11:Q11">
    <cfRule type="expression" dxfId="115" priority="116">
      <formula>H11="a"</formula>
    </cfRule>
  </conditionalFormatting>
  <conditionalFormatting sqref="H12:Q12">
    <cfRule type="expression" dxfId="114" priority="115">
      <formula>H12="ac"</formula>
    </cfRule>
  </conditionalFormatting>
  <conditionalFormatting sqref="H11:Q11">
    <cfRule type="expression" dxfId="113" priority="114">
      <formula>H11="a"</formula>
    </cfRule>
  </conditionalFormatting>
  <conditionalFormatting sqref="H12:Q12">
    <cfRule type="expression" dxfId="112" priority="113">
      <formula>H12="ac"</formula>
    </cfRule>
  </conditionalFormatting>
  <conditionalFormatting sqref="H13:BY13">
    <cfRule type="expression" dxfId="111" priority="112">
      <formula>H13="a"</formula>
    </cfRule>
  </conditionalFormatting>
  <conditionalFormatting sqref="H14:BY14">
    <cfRule type="expression" dxfId="110" priority="111">
      <formula>H14="ac"</formula>
    </cfRule>
  </conditionalFormatting>
  <conditionalFormatting sqref="H13:BY13">
    <cfRule type="expression" dxfId="109" priority="110">
      <formula>H13="a"</formula>
    </cfRule>
  </conditionalFormatting>
  <conditionalFormatting sqref="H14:BY14">
    <cfRule type="expression" dxfId="108" priority="109">
      <formula>H14="ac"</formula>
    </cfRule>
  </conditionalFormatting>
  <conditionalFormatting sqref="H15:BY15">
    <cfRule type="expression" dxfId="107" priority="108">
      <formula>H15="a"</formula>
    </cfRule>
  </conditionalFormatting>
  <conditionalFormatting sqref="H16:BY16">
    <cfRule type="expression" dxfId="106" priority="107">
      <formula>H16="ac"</formula>
    </cfRule>
  </conditionalFormatting>
  <conditionalFormatting sqref="H15:BY15">
    <cfRule type="expression" dxfId="105" priority="106">
      <formula>H15="a"</formula>
    </cfRule>
  </conditionalFormatting>
  <conditionalFormatting sqref="H16:BY16">
    <cfRule type="expression" dxfId="104" priority="105">
      <formula>H16="ac"</formula>
    </cfRule>
  </conditionalFormatting>
  <conditionalFormatting sqref="H17:BG17">
    <cfRule type="expression" dxfId="103" priority="104">
      <formula>H17="a"</formula>
    </cfRule>
  </conditionalFormatting>
  <conditionalFormatting sqref="H18:AF18">
    <cfRule type="expression" dxfId="102" priority="103">
      <formula>H18="ac"</formula>
    </cfRule>
  </conditionalFormatting>
  <conditionalFormatting sqref="H17:BG17">
    <cfRule type="expression" dxfId="101" priority="102">
      <formula>H17="a"</formula>
    </cfRule>
  </conditionalFormatting>
  <conditionalFormatting sqref="H18:AF18">
    <cfRule type="expression" dxfId="100" priority="101">
      <formula>H18="ac"</formula>
    </cfRule>
  </conditionalFormatting>
  <conditionalFormatting sqref="H19:AO19">
    <cfRule type="expression" dxfId="99" priority="100">
      <formula>H19="a"</formula>
    </cfRule>
  </conditionalFormatting>
  <conditionalFormatting sqref="H20:BE20">
    <cfRule type="expression" dxfId="98" priority="99">
      <formula>H20="ac"</formula>
    </cfRule>
  </conditionalFormatting>
  <conditionalFormatting sqref="H19:AO19">
    <cfRule type="expression" dxfId="97" priority="98">
      <formula>H19="a"</formula>
    </cfRule>
  </conditionalFormatting>
  <conditionalFormatting sqref="H20:BE20">
    <cfRule type="expression" dxfId="96" priority="97">
      <formula>H20="ac"</formula>
    </cfRule>
  </conditionalFormatting>
  <conditionalFormatting sqref="H21:BY21">
    <cfRule type="expression" dxfId="95" priority="96">
      <formula>H21="a"</formula>
    </cfRule>
  </conditionalFormatting>
  <conditionalFormatting sqref="H22:BY22">
    <cfRule type="expression" dxfId="94" priority="95">
      <formula>H22="ac"</formula>
    </cfRule>
  </conditionalFormatting>
  <conditionalFormatting sqref="H21:BY21">
    <cfRule type="expression" dxfId="93" priority="94">
      <formula>H21="a"</formula>
    </cfRule>
  </conditionalFormatting>
  <conditionalFormatting sqref="H22:BY22">
    <cfRule type="expression" dxfId="92" priority="93">
      <formula>H22="ac"</formula>
    </cfRule>
  </conditionalFormatting>
  <conditionalFormatting sqref="H23:BY23">
    <cfRule type="expression" dxfId="91" priority="92">
      <formula>H23="a"</formula>
    </cfRule>
  </conditionalFormatting>
  <conditionalFormatting sqref="H24:BY24">
    <cfRule type="expression" dxfId="90" priority="91">
      <formula>H24="ac"</formula>
    </cfRule>
  </conditionalFormatting>
  <conditionalFormatting sqref="H23:BY23">
    <cfRule type="expression" dxfId="89" priority="90">
      <formula>H23="a"</formula>
    </cfRule>
  </conditionalFormatting>
  <conditionalFormatting sqref="H24:BY24">
    <cfRule type="expression" dxfId="88" priority="89">
      <formula>H24="ac"</formula>
    </cfRule>
  </conditionalFormatting>
  <conditionalFormatting sqref="H25:BY25">
    <cfRule type="expression" dxfId="87" priority="88">
      <formula>H25="a"</formula>
    </cfRule>
  </conditionalFormatting>
  <conditionalFormatting sqref="H26:BY26">
    <cfRule type="expression" dxfId="86" priority="87">
      <formula>H26="ac"</formula>
    </cfRule>
  </conditionalFormatting>
  <conditionalFormatting sqref="H25:BY25">
    <cfRule type="expression" dxfId="85" priority="86">
      <formula>H25="a"</formula>
    </cfRule>
  </conditionalFormatting>
  <conditionalFormatting sqref="H26:BY26">
    <cfRule type="expression" dxfId="84" priority="85">
      <formula>H26="ac"</formula>
    </cfRule>
  </conditionalFormatting>
  <conditionalFormatting sqref="H27:BY27">
    <cfRule type="expression" dxfId="83" priority="84">
      <formula>H27="a"</formula>
    </cfRule>
  </conditionalFormatting>
  <conditionalFormatting sqref="H28:AI28">
    <cfRule type="expression" dxfId="82" priority="83">
      <formula>H28="ac"</formula>
    </cfRule>
  </conditionalFormatting>
  <conditionalFormatting sqref="H27:BY27">
    <cfRule type="expression" dxfId="81" priority="82">
      <formula>H27="a"</formula>
    </cfRule>
  </conditionalFormatting>
  <conditionalFormatting sqref="H28:AI28">
    <cfRule type="expression" dxfId="80" priority="81">
      <formula>H28="ac"</formula>
    </cfRule>
  </conditionalFormatting>
  <conditionalFormatting sqref="H29:BY29">
    <cfRule type="expression" dxfId="79" priority="80">
      <formula>H29="a"</formula>
    </cfRule>
  </conditionalFormatting>
  <conditionalFormatting sqref="H30:AO30">
    <cfRule type="expression" dxfId="78" priority="79">
      <formula>H30="ac"</formula>
    </cfRule>
  </conditionalFormatting>
  <conditionalFormatting sqref="H29:BY29">
    <cfRule type="expression" dxfId="77" priority="78">
      <formula>H29="a"</formula>
    </cfRule>
  </conditionalFormatting>
  <conditionalFormatting sqref="H30:AO30">
    <cfRule type="expression" dxfId="76" priority="77">
      <formula>H30="ac"</formula>
    </cfRule>
  </conditionalFormatting>
  <conditionalFormatting sqref="H31:AP31">
    <cfRule type="expression" dxfId="75" priority="76">
      <formula>H31="a"</formula>
    </cfRule>
  </conditionalFormatting>
  <conditionalFormatting sqref="H32:AS32">
    <cfRule type="expression" dxfId="74" priority="75">
      <formula>H32="ac"</formula>
    </cfRule>
  </conditionalFormatting>
  <conditionalFormatting sqref="H31:AP31">
    <cfRule type="expression" dxfId="73" priority="74">
      <formula>H31="a"</formula>
    </cfRule>
  </conditionalFormatting>
  <conditionalFormatting sqref="H32:AS32">
    <cfRule type="expression" dxfId="72" priority="73">
      <formula>H32="ac"</formula>
    </cfRule>
  </conditionalFormatting>
  <conditionalFormatting sqref="H33:AR33">
    <cfRule type="expression" dxfId="71" priority="72">
      <formula>H33="a"</formula>
    </cfRule>
  </conditionalFormatting>
  <conditionalFormatting sqref="H34:AQ34">
    <cfRule type="expression" dxfId="70" priority="71">
      <formula>H34="ac"</formula>
    </cfRule>
  </conditionalFormatting>
  <conditionalFormatting sqref="H33:AR33">
    <cfRule type="expression" dxfId="69" priority="70">
      <formula>H33="a"</formula>
    </cfRule>
  </conditionalFormatting>
  <conditionalFormatting sqref="H34:AQ34">
    <cfRule type="expression" dxfId="68" priority="69">
      <formula>H34="ac"</formula>
    </cfRule>
  </conditionalFormatting>
  <conditionalFormatting sqref="H35:AZ35">
    <cfRule type="expression" dxfId="63" priority="64">
      <formula>H35="a"</formula>
    </cfRule>
  </conditionalFormatting>
  <conditionalFormatting sqref="H36:BY36">
    <cfRule type="expression" dxfId="62" priority="63">
      <formula>H36="ac"</formula>
    </cfRule>
  </conditionalFormatting>
  <conditionalFormatting sqref="H35:AZ35">
    <cfRule type="expression" dxfId="61" priority="62">
      <formula>H35="a"</formula>
    </cfRule>
  </conditionalFormatting>
  <conditionalFormatting sqref="H36:BY36">
    <cfRule type="expression" dxfId="60" priority="61">
      <formula>H36="ac"</formula>
    </cfRule>
  </conditionalFormatting>
  <conditionalFormatting sqref="H37:BY37">
    <cfRule type="expression" dxfId="59" priority="60">
      <formula>H37="a"</formula>
    </cfRule>
  </conditionalFormatting>
  <conditionalFormatting sqref="H38:BY38">
    <cfRule type="expression" dxfId="58" priority="59">
      <formula>H38="ac"</formula>
    </cfRule>
  </conditionalFormatting>
  <conditionalFormatting sqref="H37:BY37">
    <cfRule type="expression" dxfId="57" priority="58">
      <formula>H37="a"</formula>
    </cfRule>
  </conditionalFormatting>
  <conditionalFormatting sqref="H38:BY38">
    <cfRule type="expression" dxfId="56" priority="57">
      <formula>H38="ac"</formula>
    </cfRule>
  </conditionalFormatting>
  <conditionalFormatting sqref="H39:BY39">
    <cfRule type="expression" dxfId="51" priority="52">
      <formula>H39="a"</formula>
    </cfRule>
  </conditionalFormatting>
  <conditionalFormatting sqref="H40:BZ40">
    <cfRule type="expression" dxfId="50" priority="51">
      <formula>H40="ac"</formula>
    </cfRule>
  </conditionalFormatting>
  <conditionalFormatting sqref="H39:BY39">
    <cfRule type="expression" dxfId="49" priority="50">
      <formula>H39="a"</formula>
    </cfRule>
  </conditionalFormatting>
  <conditionalFormatting sqref="H40:BZ40">
    <cfRule type="expression" dxfId="48" priority="49">
      <formula>H40="ac"</formula>
    </cfRule>
  </conditionalFormatting>
  <conditionalFormatting sqref="H41:BY41">
    <cfRule type="expression" dxfId="47" priority="48">
      <formula>H41="a"</formula>
    </cfRule>
  </conditionalFormatting>
  <conditionalFormatting sqref="H42:BY42">
    <cfRule type="expression" dxfId="46" priority="47">
      <formula>H42="ac"</formula>
    </cfRule>
  </conditionalFormatting>
  <conditionalFormatting sqref="H41:BY41">
    <cfRule type="expression" dxfId="45" priority="46">
      <formula>H41="a"</formula>
    </cfRule>
  </conditionalFormatting>
  <conditionalFormatting sqref="H42:BY42">
    <cfRule type="expression" dxfId="44" priority="45">
      <formula>H42="ac"</formula>
    </cfRule>
  </conditionalFormatting>
  <conditionalFormatting sqref="H43:BY43">
    <cfRule type="expression" dxfId="43" priority="44">
      <formula>H43="a"</formula>
    </cfRule>
  </conditionalFormatting>
  <conditionalFormatting sqref="H44:BY44">
    <cfRule type="expression" dxfId="42" priority="43">
      <formula>H44="ac"</formula>
    </cfRule>
  </conditionalFormatting>
  <conditionalFormatting sqref="H43:BY43">
    <cfRule type="expression" dxfId="41" priority="42">
      <formula>H43="a"</formula>
    </cfRule>
  </conditionalFormatting>
  <conditionalFormatting sqref="H44:BY44">
    <cfRule type="expression" dxfId="40" priority="41">
      <formula>H44="ac"</formula>
    </cfRule>
  </conditionalFormatting>
  <conditionalFormatting sqref="H45:BY45">
    <cfRule type="expression" dxfId="39" priority="40">
      <formula>H45="a"</formula>
    </cfRule>
  </conditionalFormatting>
  <conditionalFormatting sqref="H46:BY46">
    <cfRule type="expression" dxfId="38" priority="39">
      <formula>H46="ac"</formula>
    </cfRule>
  </conditionalFormatting>
  <conditionalFormatting sqref="H45:BY45">
    <cfRule type="expression" dxfId="37" priority="38">
      <formula>H45="a"</formula>
    </cfRule>
  </conditionalFormatting>
  <conditionalFormatting sqref="H46:BY46">
    <cfRule type="expression" dxfId="36" priority="37">
      <formula>H46="ac"</formula>
    </cfRule>
  </conditionalFormatting>
  <conditionalFormatting sqref="H47:BY47">
    <cfRule type="expression" dxfId="35" priority="36">
      <formula>H47="a"</formula>
    </cfRule>
  </conditionalFormatting>
  <conditionalFormatting sqref="H48:BY48">
    <cfRule type="expression" dxfId="34" priority="35">
      <formula>H48="ac"</formula>
    </cfRule>
  </conditionalFormatting>
  <conditionalFormatting sqref="H47:BY47">
    <cfRule type="expression" dxfId="33" priority="34">
      <formula>H47="a"</formula>
    </cfRule>
  </conditionalFormatting>
  <conditionalFormatting sqref="H48:BY48">
    <cfRule type="expression" dxfId="32" priority="33">
      <formula>H48="ac"</formula>
    </cfRule>
  </conditionalFormatting>
  <conditionalFormatting sqref="H49:BY49">
    <cfRule type="expression" dxfId="31" priority="32">
      <formula>H49="a"</formula>
    </cfRule>
  </conditionalFormatting>
  <conditionalFormatting sqref="H50:BY50">
    <cfRule type="expression" dxfId="30" priority="31">
      <formula>H50="ac"</formula>
    </cfRule>
  </conditionalFormatting>
  <conditionalFormatting sqref="H49:BY49">
    <cfRule type="expression" dxfId="29" priority="30">
      <formula>H49="a"</formula>
    </cfRule>
  </conditionalFormatting>
  <conditionalFormatting sqref="H50:BY50">
    <cfRule type="expression" dxfId="28" priority="29">
      <formula>H50="ac"</formula>
    </cfRule>
  </conditionalFormatting>
  <conditionalFormatting sqref="H51:BY51">
    <cfRule type="expression" dxfId="27" priority="28">
      <formula>H51="a"</formula>
    </cfRule>
  </conditionalFormatting>
  <conditionalFormatting sqref="H52:BY52">
    <cfRule type="expression" dxfId="26" priority="27">
      <formula>H52="ac"</formula>
    </cfRule>
  </conditionalFormatting>
  <conditionalFormatting sqref="H51:BY51">
    <cfRule type="expression" dxfId="25" priority="26">
      <formula>H51="a"</formula>
    </cfRule>
  </conditionalFormatting>
  <conditionalFormatting sqref="H52:BY52">
    <cfRule type="expression" dxfId="24" priority="25">
      <formula>H52="ac"</formula>
    </cfRule>
  </conditionalFormatting>
  <conditionalFormatting sqref="H53:BY53">
    <cfRule type="expression" dxfId="11" priority="12">
      <formula>H53="a"</formula>
    </cfRule>
  </conditionalFormatting>
  <conditionalFormatting sqref="H54:BY54">
    <cfRule type="expression" dxfId="10" priority="11">
      <formula>H54="ac"</formula>
    </cfRule>
  </conditionalFormatting>
  <conditionalFormatting sqref="H53:BY53">
    <cfRule type="expression" dxfId="9" priority="10">
      <formula>H53="a"</formula>
    </cfRule>
  </conditionalFormatting>
  <conditionalFormatting sqref="H54:BY54">
    <cfRule type="expression" dxfId="8" priority="9">
      <formula>H54="ac"</formula>
    </cfRule>
  </conditionalFormatting>
  <conditionalFormatting sqref="H55:BY55">
    <cfRule type="expression" dxfId="7" priority="8">
      <formula>H55="a"</formula>
    </cfRule>
  </conditionalFormatting>
  <conditionalFormatting sqref="H56:BY56">
    <cfRule type="expression" dxfId="6" priority="7">
      <formula>H56="ac"</formula>
    </cfRule>
  </conditionalFormatting>
  <conditionalFormatting sqref="H55:BY55">
    <cfRule type="expression" dxfId="5" priority="6">
      <formula>H55="a"</formula>
    </cfRule>
  </conditionalFormatting>
  <conditionalFormatting sqref="H56:BY56">
    <cfRule type="expression" dxfId="4" priority="5">
      <formula>H56="ac"</formula>
    </cfRule>
  </conditionalFormatting>
  <conditionalFormatting sqref="H57:BY57">
    <cfRule type="expression" dxfId="3" priority="4">
      <formula>H57="a"</formula>
    </cfRule>
  </conditionalFormatting>
  <conditionalFormatting sqref="H58:BX58">
    <cfRule type="expression" dxfId="2" priority="3">
      <formula>H58="ac"</formula>
    </cfRule>
  </conditionalFormatting>
  <conditionalFormatting sqref="H57:BY57">
    <cfRule type="expression" dxfId="1" priority="2">
      <formula>H57="a"</formula>
    </cfRule>
  </conditionalFormatting>
  <conditionalFormatting sqref="H58:BX58">
    <cfRule type="expression" dxfId="0" priority="1">
      <formula>H58="ac"</formula>
    </cfRule>
  </conditionalFormatting>
  <pageMargins left="0.7" right="0.7" top="0.75" bottom="0.75" header="0.3" footer="0.3"/>
  <pageSetup orientation="portrait" r:id="rId1"/>
  <ignoredErrors>
    <ignoredError sqref="AU7:AW12 H6 R7:AT8 R9:AT10 R11:AT12 AG18:AT18 AJ28:AT28 AP30:AT30 AT32 AR34:AT34 AU18:AW19 AP19:AT19 AU28:AW28 AU30:AW34 AQ31:AT31 AS33:AT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</dc:creator>
  <cp:lastModifiedBy>Laiba Haider</cp:lastModifiedBy>
  <dcterms:created xsi:type="dcterms:W3CDTF">2026-05-08T10:22:58Z</dcterms:created>
  <dcterms:modified xsi:type="dcterms:W3CDTF">2026-06-05T16:33:05Z</dcterms:modified>
</cp:coreProperties>
</file>